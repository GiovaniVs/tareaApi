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IA\Desktop\Patricia_160624\EL SALVADOR ES-L1152\Contrato\Producto 2\Versión Sin JICA\Version_220722\"/>
    </mc:Choice>
  </mc:AlternateContent>
  <xr:revisionPtr revIDLastSave="1" documentId="13_ncr:1_{D1630175-8492-406B-A1F1-9F43CF834047}" xr6:coauthVersionLast="47" xr6:coauthVersionMax="47" xr10:uidLastSave="{70839E9D-D3D3-4CB3-BE49-44971606492C}"/>
  <bookViews>
    <workbookView xWindow="-120" yWindow="-120" windowWidth="20730" windowHeight="11160" tabRatio="758" activeTab="2" xr2:uid="{93CAD4AF-8A94-4204-8A6D-77F36F21093F}"/>
  </bookViews>
  <sheets>
    <sheet name="RESUMEN Costos" sheetId="5" r:id="rId1"/>
    <sheet name="RESUMEN Desembolso" sheetId="9" r:id="rId2"/>
    <sheet name="Componente 1" sheetId="1" r:id="rId3"/>
    <sheet name="Componente 2" sheetId="2" r:id="rId4"/>
    <sheet name="Componente 3" sheetId="4" r:id="rId5"/>
    <sheet name="Administración" sheetId="6" r:id="rId6"/>
    <sheet name="Costos desglosados_C1 y C2" sheetId="7" r:id="rId7"/>
    <sheet name="Costos Desglosados C3" sheetId="8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6" i="7" l="1"/>
  <c r="O154" i="7"/>
  <c r="O184" i="7"/>
  <c r="O206" i="7"/>
  <c r="O207" i="7"/>
  <c r="O208" i="7"/>
  <c r="O205" i="7"/>
  <c r="K29" i="2"/>
  <c r="I18" i="1"/>
  <c r="K18" i="1"/>
  <c r="I12" i="4"/>
  <c r="I13" i="4"/>
  <c r="F30" i="2" l="1"/>
  <c r="F234" i="7"/>
  <c r="E220" i="7"/>
  <c r="O220" i="7" s="1"/>
  <c r="E219" i="7"/>
  <c r="O219" i="7" s="1"/>
  <c r="E218" i="7"/>
  <c r="O218" i="7" s="1"/>
  <c r="E217" i="7"/>
  <c r="O217" i="7" s="1"/>
  <c r="E216" i="7"/>
  <c r="O216" i="7" s="1"/>
  <c r="E215" i="7"/>
  <c r="O215" i="7" s="1"/>
  <c r="E214" i="7"/>
  <c r="O214" i="7" s="1"/>
  <c r="E213" i="7"/>
  <c r="O213" i="7" s="1"/>
  <c r="E212" i="7"/>
  <c r="N211" i="7"/>
  <c r="D210" i="7"/>
  <c r="D209" i="7"/>
  <c r="N209" i="7" s="1"/>
  <c r="D208" i="7"/>
  <c r="D207" i="7"/>
  <c r="D206" i="7"/>
  <c r="D205" i="7"/>
  <c r="N204" i="7"/>
  <c r="N202" i="7" s="1"/>
  <c r="H202" i="7"/>
  <c r="F202" i="7"/>
  <c r="E195" i="7"/>
  <c r="E194" i="7"/>
  <c r="E193" i="7"/>
  <c r="E192" i="7"/>
  <c r="E191" i="7"/>
  <c r="O190" i="7"/>
  <c r="F188" i="7"/>
  <c r="D187" i="7"/>
  <c r="E187" i="7" s="1"/>
  <c r="O187" i="7" s="1"/>
  <c r="E186" i="7"/>
  <c r="N185" i="7"/>
  <c r="E184" i="7"/>
  <c r="J184" i="7" s="1"/>
  <c r="E183" i="7"/>
  <c r="N183" i="7" s="1"/>
  <c r="E182" i="7"/>
  <c r="N182" i="7" s="1"/>
  <c r="E181" i="7"/>
  <c r="N181" i="7" s="1"/>
  <c r="E180" i="7"/>
  <c r="N180" i="7" s="1"/>
  <c r="D178" i="7"/>
  <c r="H175" i="7" s="1"/>
  <c r="E177" i="7"/>
  <c r="N177" i="7" s="1"/>
  <c r="E176" i="7"/>
  <c r="N176" i="7" s="1"/>
  <c r="N175" i="7" s="1"/>
  <c r="E173" i="7"/>
  <c r="E172" i="7"/>
  <c r="E171" i="7"/>
  <c r="E170" i="7"/>
  <c r="E169" i="7"/>
  <c r="E168" i="7"/>
  <c r="E166" i="7"/>
  <c r="N166" i="7" s="1"/>
  <c r="E165" i="7"/>
  <c r="N165" i="7" s="1"/>
  <c r="E164" i="7"/>
  <c r="N164" i="7" s="1"/>
  <c r="E163" i="7"/>
  <c r="N163" i="7" s="1"/>
  <c r="N162" i="7" s="1"/>
  <c r="J162" i="7"/>
  <c r="I162" i="7"/>
  <c r="H162" i="7"/>
  <c r="G162" i="7"/>
  <c r="E162" i="7"/>
  <c r="E160" i="7"/>
  <c r="O160" i="7" s="1"/>
  <c r="E159" i="7"/>
  <c r="N158" i="7"/>
  <c r="E157" i="7"/>
  <c r="O157" i="7" s="1"/>
  <c r="E156" i="7"/>
  <c r="O156" i="7" s="1"/>
  <c r="E155" i="7"/>
  <c r="O155" i="7" s="1"/>
  <c r="E153" i="7"/>
  <c r="N153" i="7" s="1"/>
  <c r="E152" i="7"/>
  <c r="N152" i="7" s="1"/>
  <c r="E151" i="7"/>
  <c r="N151" i="7" s="1"/>
  <c r="E150" i="7"/>
  <c r="N150" i="7" s="1"/>
  <c r="E149" i="7"/>
  <c r="N149" i="7" s="1"/>
  <c r="E148" i="7"/>
  <c r="N148" i="7" s="1"/>
  <c r="E147" i="7"/>
  <c r="N147" i="7" s="1"/>
  <c r="E146" i="7"/>
  <c r="N146" i="7" s="1"/>
  <c r="E145" i="7"/>
  <c r="E143" i="7"/>
  <c r="C142" i="7"/>
  <c r="E142" i="7" s="1"/>
  <c r="E141" i="7"/>
  <c r="D140" i="7"/>
  <c r="E140" i="7" s="1"/>
  <c r="E139" i="7"/>
  <c r="E138" i="7"/>
  <c r="F137" i="7"/>
  <c r="E136" i="7"/>
  <c r="O136" i="7" s="1"/>
  <c r="E135" i="7"/>
  <c r="D134" i="7"/>
  <c r="E134" i="7" s="1"/>
  <c r="E133" i="7"/>
  <c r="E132" i="7"/>
  <c r="E131" i="7"/>
  <c r="E130" i="7"/>
  <c r="D129" i="7"/>
  <c r="E129" i="7" s="1"/>
  <c r="D128" i="7"/>
  <c r="E128" i="7" s="1"/>
  <c r="D127" i="7"/>
  <c r="E127" i="7" s="1"/>
  <c r="D126" i="7"/>
  <c r="E126" i="7" s="1"/>
  <c r="E123" i="7"/>
  <c r="O123" i="7" s="1"/>
  <c r="D122" i="7"/>
  <c r="E122" i="7" s="1"/>
  <c r="D121" i="7"/>
  <c r="E121" i="7" s="1"/>
  <c r="D120" i="7"/>
  <c r="E120" i="7" s="1"/>
  <c r="D119" i="7"/>
  <c r="E119" i="7" s="1"/>
  <c r="D118" i="7"/>
  <c r="E118" i="7" s="1"/>
  <c r="D117" i="7"/>
  <c r="E117" i="7" s="1"/>
  <c r="D116" i="7"/>
  <c r="E116" i="7" s="1"/>
  <c r="D115" i="7"/>
  <c r="E115" i="7" s="1"/>
  <c r="D114" i="7"/>
  <c r="E114" i="7" s="1"/>
  <c r="E111" i="7"/>
  <c r="N111" i="7" s="1"/>
  <c r="O111" i="7" s="1"/>
  <c r="N110" i="7"/>
  <c r="E110" i="7"/>
  <c r="N109" i="7"/>
  <c r="E108" i="7"/>
  <c r="E107" i="7"/>
  <c r="E106" i="7"/>
  <c r="E105" i="7"/>
  <c r="E103" i="7"/>
  <c r="E102" i="7"/>
  <c r="E101" i="7"/>
  <c r="E100" i="7" s="1"/>
  <c r="N100" i="7"/>
  <c r="E99" i="7"/>
  <c r="E98" i="7"/>
  <c r="D97" i="7"/>
  <c r="E97" i="7" s="1"/>
  <c r="E96" i="7"/>
  <c r="E95" i="7"/>
  <c r="E94" i="7"/>
  <c r="E93" i="7"/>
  <c r="D92" i="7"/>
  <c r="E92" i="7" s="1"/>
  <c r="D91" i="7"/>
  <c r="E91" i="7" s="1"/>
  <c r="D90" i="7"/>
  <c r="E90" i="7" s="1"/>
  <c r="D89" i="7"/>
  <c r="E89" i="7" s="1"/>
  <c r="D87" i="7"/>
  <c r="E87" i="7" s="1"/>
  <c r="D86" i="7"/>
  <c r="E86" i="7" s="1"/>
  <c r="D85" i="7"/>
  <c r="E85" i="7" s="1"/>
  <c r="D84" i="7"/>
  <c r="E84" i="7" s="1"/>
  <c r="D83" i="7"/>
  <c r="E83" i="7" s="1"/>
  <c r="D82" i="7"/>
  <c r="E82" i="7" s="1"/>
  <c r="D81" i="7"/>
  <c r="E81" i="7" s="1"/>
  <c r="D80" i="7"/>
  <c r="E80" i="7" s="1"/>
  <c r="D79" i="7"/>
  <c r="E79" i="7" s="1"/>
  <c r="D78" i="7"/>
  <c r="E78" i="7" s="1"/>
  <c r="D77" i="7"/>
  <c r="E77" i="7" s="1"/>
  <c r="D76" i="7"/>
  <c r="E76" i="7" s="1"/>
  <c r="E75" i="7" s="1"/>
  <c r="E73" i="7"/>
  <c r="E72" i="7"/>
  <c r="F71" i="7" s="1"/>
  <c r="N71" i="7"/>
  <c r="O71" i="7" s="1"/>
  <c r="I71" i="7"/>
  <c r="E70" i="7"/>
  <c r="O70" i="7" s="1"/>
  <c r="E69" i="7"/>
  <c r="N69" i="7" s="1"/>
  <c r="E68" i="7"/>
  <c r="N68" i="7" s="1"/>
  <c r="E67" i="7"/>
  <c r="N67" i="7" s="1"/>
  <c r="E66" i="7"/>
  <c r="N66" i="7" s="1"/>
  <c r="E65" i="7"/>
  <c r="N65" i="7" s="1"/>
  <c r="E64" i="7"/>
  <c r="N64" i="7" s="1"/>
  <c r="E63" i="7"/>
  <c r="N63" i="7" s="1"/>
  <c r="E62" i="7"/>
  <c r="N62" i="7" s="1"/>
  <c r="E60" i="7"/>
  <c r="N60" i="7" s="1"/>
  <c r="E59" i="7"/>
  <c r="N59" i="7" s="1"/>
  <c r="D58" i="7"/>
  <c r="E58" i="7" s="1"/>
  <c r="N58" i="7" s="1"/>
  <c r="D57" i="7"/>
  <c r="E57" i="7" s="1"/>
  <c r="N57" i="7" s="1"/>
  <c r="D56" i="7"/>
  <c r="E56" i="7" s="1"/>
  <c r="N56" i="7" s="1"/>
  <c r="D55" i="7"/>
  <c r="E55" i="7" s="1"/>
  <c r="N55" i="7" s="1"/>
  <c r="D54" i="7"/>
  <c r="E54" i="7" s="1"/>
  <c r="N54" i="7" s="1"/>
  <c r="D53" i="7"/>
  <c r="E53" i="7" s="1"/>
  <c r="N53" i="7" s="1"/>
  <c r="D52" i="7"/>
  <c r="E52" i="7" s="1"/>
  <c r="N52" i="7" s="1"/>
  <c r="D51" i="7"/>
  <c r="E51" i="7" s="1"/>
  <c r="N51" i="7" s="1"/>
  <c r="D50" i="7"/>
  <c r="E50" i="7" s="1"/>
  <c r="N50" i="7" s="1"/>
  <c r="D49" i="7"/>
  <c r="E49" i="7" s="1"/>
  <c r="N49" i="7" s="1"/>
  <c r="E48" i="7"/>
  <c r="O48" i="7" s="1"/>
  <c r="E41" i="7"/>
  <c r="E38" i="7"/>
  <c r="E35" i="7"/>
  <c r="E29" i="7"/>
  <c r="D27" i="7"/>
  <c r="E27" i="7" s="1"/>
  <c r="E22" i="7"/>
  <c r="E21" i="7"/>
  <c r="E20" i="7"/>
  <c r="E19" i="7"/>
  <c r="J19" i="7" s="1"/>
  <c r="E15" i="7"/>
  <c r="O15" i="7" s="1"/>
  <c r="E14" i="7"/>
  <c r="N14" i="7" s="1"/>
  <c r="E13" i="7"/>
  <c r="S12" i="7"/>
  <c r="R12" i="7"/>
  <c r="E9" i="7"/>
  <c r="E8" i="7"/>
  <c r="E7" i="7"/>
  <c r="I6" i="7" l="1"/>
  <c r="H29" i="7"/>
  <c r="J29" i="7"/>
  <c r="I29" i="7"/>
  <c r="G29" i="7"/>
  <c r="G35" i="7"/>
  <c r="J35" i="7"/>
  <c r="I35" i="7"/>
  <c r="H35" i="7"/>
  <c r="J38" i="7"/>
  <c r="H38" i="7"/>
  <c r="J41" i="7"/>
  <c r="I41" i="7"/>
  <c r="G41" i="7"/>
  <c r="E104" i="7"/>
  <c r="O104" i="7" s="1"/>
  <c r="O110" i="7"/>
  <c r="F158" i="7"/>
  <c r="O159" i="7"/>
  <c r="J173" i="7"/>
  <c r="H173" i="7"/>
  <c r="I191" i="7"/>
  <c r="H195" i="7"/>
  <c r="I195" i="7"/>
  <c r="G195" i="7"/>
  <c r="F211" i="7"/>
  <c r="O212" i="7"/>
  <c r="E175" i="7"/>
  <c r="I104" i="7"/>
  <c r="G104" i="7"/>
  <c r="J104" i="7"/>
  <c r="H104" i="7"/>
  <c r="J6" i="7"/>
  <c r="J100" i="7"/>
  <c r="H100" i="7"/>
  <c r="I100" i="7"/>
  <c r="G100" i="7"/>
  <c r="F6" i="7"/>
  <c r="J12" i="7"/>
  <c r="F12" i="7"/>
  <c r="I12" i="7"/>
  <c r="G27" i="7"/>
  <c r="J27" i="7"/>
  <c r="J18" i="7" s="1"/>
  <c r="J75" i="7"/>
  <c r="H75" i="7"/>
  <c r="N75" i="7"/>
  <c r="G123" i="7"/>
  <c r="I123" i="7"/>
  <c r="J123" i="7"/>
  <c r="H123" i="7"/>
  <c r="N13" i="7"/>
  <c r="N12" i="7" s="1"/>
  <c r="O12" i="7" s="1"/>
  <c r="H27" i="7"/>
  <c r="G75" i="7"/>
  <c r="N137" i="7"/>
  <c r="O137" i="7" s="1"/>
  <c r="N145" i="7"/>
  <c r="N144" i="7" s="1"/>
  <c r="F144" i="7"/>
  <c r="G191" i="7"/>
  <c r="G190" i="7" s="1"/>
  <c r="G12" i="7"/>
  <c r="H19" i="7"/>
  <c r="H18" i="7" s="1"/>
  <c r="G19" i="7"/>
  <c r="G18" i="7" s="1"/>
  <c r="I27" i="7"/>
  <c r="E47" i="7"/>
  <c r="I75" i="7"/>
  <c r="H6" i="7"/>
  <c r="G6" i="7"/>
  <c r="H12" i="7"/>
  <c r="E18" i="7"/>
  <c r="I19" i="7"/>
  <c r="I18" i="7" s="1"/>
  <c r="N47" i="7"/>
  <c r="O186" i="7"/>
  <c r="F185" i="7"/>
  <c r="E125" i="7"/>
  <c r="I139" i="7"/>
  <c r="I137" i="7" s="1"/>
  <c r="G139" i="7"/>
  <c r="G137" i="7" s="1"/>
  <c r="I38" i="7"/>
  <c r="I37" i="7" s="1"/>
  <c r="E37" i="7"/>
  <c r="N61" i="7"/>
  <c r="J71" i="7"/>
  <c r="H71" i="7"/>
  <c r="F109" i="7"/>
  <c r="O109" i="7" s="1"/>
  <c r="H139" i="7"/>
  <c r="H137" i="7" s="1"/>
  <c r="E178" i="7"/>
  <c r="O178" i="7" s="1"/>
  <c r="I175" i="7"/>
  <c r="G175" i="7"/>
  <c r="N179" i="7"/>
  <c r="N174" i="7" s="1"/>
  <c r="G184" i="7"/>
  <c r="I184" i="7"/>
  <c r="H191" i="7"/>
  <c r="H190" i="7" s="1"/>
  <c r="J191" i="7"/>
  <c r="O202" i="7"/>
  <c r="G38" i="7"/>
  <c r="G37" i="7" s="1"/>
  <c r="E61" i="7"/>
  <c r="G71" i="7"/>
  <c r="E88" i="7"/>
  <c r="E113" i="7"/>
  <c r="J139" i="7"/>
  <c r="J137" i="7" s="1"/>
  <c r="J158" i="7"/>
  <c r="H158" i="7"/>
  <c r="E167" i="7"/>
  <c r="I173" i="7"/>
  <c r="G173" i="7"/>
  <c r="J175" i="7"/>
  <c r="E179" i="7"/>
  <c r="H184" i="7"/>
  <c r="H41" i="7"/>
  <c r="H37" i="7" s="1"/>
  <c r="J195" i="7"/>
  <c r="I202" i="7"/>
  <c r="J202" i="7"/>
  <c r="E232" i="7"/>
  <c r="J190" i="7" l="1"/>
  <c r="N46" i="7"/>
  <c r="F17" i="7"/>
  <c r="N17" i="7" s="1"/>
  <c r="O17" i="7" s="1"/>
  <c r="O144" i="7"/>
  <c r="D232" i="7"/>
  <c r="O211" i="7"/>
  <c r="F232" i="7" s="1"/>
  <c r="I190" i="7"/>
  <c r="I158" i="7"/>
  <c r="G158" i="7"/>
  <c r="O158" i="7"/>
  <c r="J37" i="7"/>
  <c r="J17" i="7" s="1"/>
  <c r="I61" i="7"/>
  <c r="G61" i="7"/>
  <c r="J61" i="7"/>
  <c r="H61" i="7"/>
  <c r="J125" i="7"/>
  <c r="H125" i="7"/>
  <c r="G125" i="7"/>
  <c r="I125" i="7"/>
  <c r="H167" i="7"/>
  <c r="H161" i="7" s="1"/>
  <c r="J167" i="7"/>
  <c r="J161" i="7" s="1"/>
  <c r="G167" i="7"/>
  <c r="G161" i="7" s="1"/>
  <c r="N167" i="7"/>
  <c r="N161" i="7" s="1"/>
  <c r="F161" i="7"/>
  <c r="I167" i="7"/>
  <c r="I161" i="7" s="1"/>
  <c r="N6" i="7"/>
  <c r="J47" i="7"/>
  <c r="J46" i="7" s="1"/>
  <c r="H47" i="7"/>
  <c r="I47" i="7"/>
  <c r="F46" i="7"/>
  <c r="G47" i="7"/>
  <c r="G46" i="7" s="1"/>
  <c r="I179" i="7"/>
  <c r="I174" i="7" s="1"/>
  <c r="G179" i="7"/>
  <c r="J179" i="7"/>
  <c r="J174" i="7" s="1"/>
  <c r="H179" i="7"/>
  <c r="H174" i="7" s="1"/>
  <c r="J113" i="7"/>
  <c r="H113" i="7"/>
  <c r="I113" i="7"/>
  <c r="I112" i="7" s="1"/>
  <c r="G113" i="7"/>
  <c r="G112" i="7" s="1"/>
  <c r="F112" i="7"/>
  <c r="N112" i="7" s="1"/>
  <c r="O112" i="7" s="1"/>
  <c r="G174" i="7"/>
  <c r="F174" i="7"/>
  <c r="O174" i="7" s="1"/>
  <c r="J185" i="7"/>
  <c r="H185" i="7"/>
  <c r="I185" i="7"/>
  <c r="G185" i="7"/>
  <c r="I17" i="7"/>
  <c r="H88" i="7"/>
  <c r="H74" i="7" s="1"/>
  <c r="J88" i="7"/>
  <c r="J74" i="7" s="1"/>
  <c r="G88" i="7"/>
  <c r="G74" i="7" s="1"/>
  <c r="I88" i="7"/>
  <c r="I74" i="7" s="1"/>
  <c r="N88" i="7"/>
  <c r="N74" i="7" s="1"/>
  <c r="G17" i="7"/>
  <c r="O185" i="7"/>
  <c r="H109" i="7"/>
  <c r="J109" i="7"/>
  <c r="G109" i="7"/>
  <c r="I109" i="7"/>
  <c r="F74" i="7"/>
  <c r="H17" i="7"/>
  <c r="J144" i="7"/>
  <c r="H144" i="7"/>
  <c r="I144" i="7"/>
  <c r="G144" i="7"/>
  <c r="O74" i="7" l="1"/>
  <c r="D231" i="7"/>
  <c r="O46" i="7"/>
  <c r="D230" i="7"/>
  <c r="D233" i="7" s="1"/>
  <c r="D235" i="7" s="1"/>
  <c r="E230" i="7"/>
  <c r="O161" i="7"/>
  <c r="H112" i="7"/>
  <c r="F221" i="7"/>
  <c r="J112" i="7"/>
  <c r="I46" i="7"/>
  <c r="E231" i="7"/>
  <c r="O6" i="7"/>
  <c r="N221" i="7"/>
  <c r="H46" i="7"/>
  <c r="O221" i="7" l="1"/>
  <c r="O223" i="7" s="1"/>
  <c r="F230" i="7"/>
  <c r="E233" i="7"/>
  <c r="G230" i="7"/>
  <c r="F231" i="7"/>
  <c r="E235" i="7" l="1"/>
  <c r="F235" i="7" s="1"/>
  <c r="G232" i="7"/>
  <c r="G231" i="7"/>
  <c r="F233" i="7"/>
  <c r="J18" i="1" l="1"/>
  <c r="G16" i="1"/>
  <c r="H16" i="1"/>
  <c r="I16" i="1"/>
  <c r="I15" i="1"/>
  <c r="H15" i="1"/>
  <c r="G15" i="1"/>
  <c r="E9" i="1"/>
  <c r="F9" i="1" s="1"/>
  <c r="E10" i="1"/>
  <c r="E11" i="1"/>
  <c r="E13" i="1"/>
  <c r="E15" i="1"/>
  <c r="K14" i="1"/>
  <c r="J14" i="1"/>
  <c r="F12" i="9"/>
  <c r="E12" i="9"/>
  <c r="D12" i="9"/>
  <c r="H9" i="1" l="1"/>
  <c r="I9" i="1"/>
  <c r="J9" i="1"/>
  <c r="G9" i="1"/>
  <c r="F14" i="1"/>
  <c r="H29" i="2"/>
  <c r="E10" i="9" s="1"/>
  <c r="F29" i="2"/>
  <c r="C10" i="9" s="1"/>
  <c r="C11" i="5" s="1"/>
  <c r="B11" i="9"/>
  <c r="B8" i="9"/>
  <c r="B5" i="9"/>
  <c r="G12" i="1"/>
  <c r="F17" i="1" l="1"/>
  <c r="C7" i="9" s="1"/>
  <c r="C8" i="5" s="1"/>
  <c r="H25" i="2"/>
  <c r="F12" i="8"/>
  <c r="F11" i="8"/>
  <c r="F10" i="8"/>
  <c r="F9" i="8"/>
  <c r="F8" i="8" s="1"/>
  <c r="F17" i="8"/>
  <c r="F16" i="8"/>
  <c r="F15" i="8"/>
  <c r="F14" i="8"/>
  <c r="F13" i="8"/>
  <c r="F7" i="8"/>
  <c r="F6" i="8"/>
  <c r="F5" i="8"/>
  <c r="F4" i="8" s="1"/>
  <c r="E4" i="8"/>
  <c r="D34" i="6"/>
  <c r="D37" i="6"/>
  <c r="D36" i="6"/>
  <c r="D35" i="6"/>
  <c r="H14" i="1" l="1"/>
  <c r="I14" i="1"/>
  <c r="G14" i="1"/>
  <c r="I9" i="2"/>
  <c r="I25" i="2"/>
  <c r="I13" i="2"/>
  <c r="D38" i="6"/>
  <c r="C12" i="9" s="1"/>
  <c r="C13" i="5" s="1"/>
  <c r="I17" i="2" l="1"/>
  <c r="J13" i="2"/>
  <c r="J17" i="2"/>
  <c r="I21" i="2"/>
  <c r="E10" i="2"/>
  <c r="E23" i="2"/>
  <c r="F23" i="2" s="1"/>
  <c r="E28" i="2"/>
  <c r="F28" i="2" s="1"/>
  <c r="E12" i="2"/>
  <c r="E11" i="2"/>
  <c r="I8" i="2" l="1"/>
  <c r="G28" i="2"/>
  <c r="G23" i="2"/>
  <c r="F9" i="9"/>
  <c r="K9" i="2"/>
  <c r="J25" i="2"/>
  <c r="J9" i="2"/>
  <c r="K25" i="2"/>
  <c r="J21" i="2"/>
  <c r="K8" i="1"/>
  <c r="K12" i="1"/>
  <c r="E24" i="2"/>
  <c r="F24" i="2" s="1"/>
  <c r="E26" i="2"/>
  <c r="F26" i="2" s="1"/>
  <c r="E22" i="2"/>
  <c r="F22" i="2" s="1"/>
  <c r="E27" i="2"/>
  <c r="F27" i="2" s="1"/>
  <c r="E18" i="2"/>
  <c r="F18" i="2" s="1"/>
  <c r="E20" i="2"/>
  <c r="F20" i="2" s="1"/>
  <c r="E19" i="2"/>
  <c r="F19" i="2" s="1"/>
  <c r="E16" i="2"/>
  <c r="E15" i="2"/>
  <c r="J8" i="2" l="1"/>
  <c r="G19" i="2"/>
  <c r="G26" i="2"/>
  <c r="G27" i="2"/>
  <c r="H22" i="2"/>
  <c r="G22" i="2"/>
  <c r="H20" i="2"/>
  <c r="G20" i="2"/>
  <c r="G18" i="2"/>
  <c r="H18" i="2"/>
  <c r="G24" i="2"/>
  <c r="H24" i="2"/>
  <c r="G9" i="9"/>
  <c r="K17" i="2"/>
  <c r="K21" i="2"/>
  <c r="K13" i="2"/>
  <c r="K8" i="2" s="1"/>
  <c r="K7" i="1"/>
  <c r="H6" i="9" s="1"/>
  <c r="F21" i="2"/>
  <c r="F25" i="2"/>
  <c r="E14" i="2"/>
  <c r="F14" i="2" s="1"/>
  <c r="F17" i="2"/>
  <c r="E30" i="6"/>
  <c r="L29" i="6"/>
  <c r="D27" i="6"/>
  <c r="E27" i="6" s="1"/>
  <c r="C27" i="6"/>
  <c r="D26" i="6"/>
  <c r="F26" i="6" s="1"/>
  <c r="C26" i="6"/>
  <c r="F25" i="6"/>
  <c r="H25" i="6" s="1"/>
  <c r="E25" i="6"/>
  <c r="C25" i="6"/>
  <c r="F24" i="6"/>
  <c r="G24" i="6" s="1"/>
  <c r="E24" i="6"/>
  <c r="B24" i="6"/>
  <c r="C24" i="6" s="1"/>
  <c r="F23" i="6"/>
  <c r="H23" i="6" s="1"/>
  <c r="E23" i="6"/>
  <c r="B23" i="6"/>
  <c r="C23" i="6" s="1"/>
  <c r="D22" i="6"/>
  <c r="F22" i="6" s="1"/>
  <c r="C22" i="6"/>
  <c r="D21" i="6"/>
  <c r="E21" i="6" s="1"/>
  <c r="C21" i="6"/>
  <c r="B20" i="6"/>
  <c r="C20" i="6" s="1"/>
  <c r="D19" i="6"/>
  <c r="F19" i="6" s="1"/>
  <c r="C19" i="6"/>
  <c r="B18" i="6"/>
  <c r="D18" i="6" s="1"/>
  <c r="F18" i="6" s="1"/>
  <c r="D17" i="6"/>
  <c r="F17" i="6" s="1"/>
  <c r="C17" i="6"/>
  <c r="D16" i="6"/>
  <c r="C16" i="6"/>
  <c r="B14" i="6"/>
  <c r="D14" i="6" s="1"/>
  <c r="F14" i="6" s="1"/>
  <c r="H14" i="6" s="1"/>
  <c r="B7" i="6"/>
  <c r="D7" i="6" s="1"/>
  <c r="E7" i="6" s="1"/>
  <c r="B6" i="6"/>
  <c r="D6" i="6" s="1"/>
  <c r="F6" i="6" s="1"/>
  <c r="G6" i="6" s="1"/>
  <c r="H14" i="2" l="1"/>
  <c r="G14" i="2"/>
  <c r="H9" i="9"/>
  <c r="E26" i="6"/>
  <c r="F27" i="6"/>
  <c r="H27" i="6" s="1"/>
  <c r="C14" i="6"/>
  <c r="D20" i="6"/>
  <c r="F20" i="6" s="1"/>
  <c r="G20" i="6" s="1"/>
  <c r="G25" i="6"/>
  <c r="G27" i="6"/>
  <c r="G14" i="6"/>
  <c r="B28" i="6"/>
  <c r="E19" i="6"/>
  <c r="H19" i="6"/>
  <c r="J19" i="6" s="1"/>
  <c r="K19" i="6" s="1"/>
  <c r="G19" i="6"/>
  <c r="C6" i="6"/>
  <c r="E18" i="6"/>
  <c r="E14" i="6"/>
  <c r="F16" i="6"/>
  <c r="H16" i="6" s="1"/>
  <c r="J16" i="6" s="1"/>
  <c r="C18" i="6"/>
  <c r="C28" i="6" s="1"/>
  <c r="G30" i="6"/>
  <c r="I30" i="6" s="1"/>
  <c r="K30" i="6" s="1"/>
  <c r="H18" i="6"/>
  <c r="G18" i="6"/>
  <c r="G22" i="6"/>
  <c r="H22" i="6"/>
  <c r="G17" i="6"/>
  <c r="H17" i="6"/>
  <c r="I19" i="6"/>
  <c r="J14" i="6"/>
  <c r="K14" i="6" s="1"/>
  <c r="I14" i="6"/>
  <c r="H26" i="6"/>
  <c r="G26" i="6"/>
  <c r="I23" i="6"/>
  <c r="J23" i="6"/>
  <c r="K23" i="6" s="1"/>
  <c r="H6" i="6"/>
  <c r="F7" i="6"/>
  <c r="E6" i="6"/>
  <c r="C7" i="6"/>
  <c r="B8" i="6"/>
  <c r="J25" i="6"/>
  <c r="K25" i="6" s="1"/>
  <c r="I25" i="6"/>
  <c r="J27" i="6"/>
  <c r="K27" i="6" s="1"/>
  <c r="I27" i="6"/>
  <c r="F21" i="6"/>
  <c r="H24" i="6"/>
  <c r="E17" i="6"/>
  <c r="E22" i="6"/>
  <c r="G23" i="6"/>
  <c r="E16" i="6"/>
  <c r="E20" i="6" l="1"/>
  <c r="H20" i="6"/>
  <c r="D28" i="6"/>
  <c r="I16" i="6"/>
  <c r="L19" i="6"/>
  <c r="L25" i="6"/>
  <c r="F28" i="6"/>
  <c r="G16" i="6"/>
  <c r="L27" i="6"/>
  <c r="L14" i="6"/>
  <c r="L30" i="6"/>
  <c r="H21" i="6"/>
  <c r="H28" i="6" s="1"/>
  <c r="G21" i="6"/>
  <c r="J17" i="6"/>
  <c r="K17" i="6" s="1"/>
  <c r="I17" i="6"/>
  <c r="J18" i="6"/>
  <c r="K18" i="6" s="1"/>
  <c r="I18" i="6"/>
  <c r="J20" i="6"/>
  <c r="K20" i="6" s="1"/>
  <c r="I20" i="6"/>
  <c r="J6" i="6"/>
  <c r="I6" i="6"/>
  <c r="L23" i="6"/>
  <c r="G7" i="6"/>
  <c r="H7" i="6"/>
  <c r="J26" i="6"/>
  <c r="K26" i="6" s="1"/>
  <c r="I26" i="6"/>
  <c r="L26" i="6" s="1"/>
  <c r="E28" i="6"/>
  <c r="J24" i="6"/>
  <c r="K24" i="6" s="1"/>
  <c r="I24" i="6"/>
  <c r="K16" i="6"/>
  <c r="L16" i="6" s="1"/>
  <c r="D8" i="6"/>
  <c r="B9" i="6"/>
  <c r="C8" i="6"/>
  <c r="J22" i="6"/>
  <c r="K22" i="6" s="1"/>
  <c r="I22" i="6"/>
  <c r="L18" i="6" l="1"/>
  <c r="L22" i="6"/>
  <c r="L17" i="6"/>
  <c r="L24" i="6"/>
  <c r="L20" i="6"/>
  <c r="B10" i="6"/>
  <c r="C9" i="6"/>
  <c r="D9" i="6"/>
  <c r="K6" i="6"/>
  <c r="F8" i="6"/>
  <c r="E8" i="6"/>
  <c r="I7" i="6"/>
  <c r="J7" i="6"/>
  <c r="K7" i="6" s="1"/>
  <c r="I21" i="6"/>
  <c r="I28" i="6" s="1"/>
  <c r="J21" i="6"/>
  <c r="G28" i="6"/>
  <c r="L7" i="6" l="1"/>
  <c r="K21" i="6"/>
  <c r="J28" i="6"/>
  <c r="L6" i="6"/>
  <c r="D10" i="6"/>
  <c r="C10" i="6"/>
  <c r="B11" i="6"/>
  <c r="E9" i="6"/>
  <c r="F9" i="6"/>
  <c r="H8" i="6"/>
  <c r="G8" i="6"/>
  <c r="C11" i="6" l="1"/>
  <c r="B12" i="6"/>
  <c r="D11" i="6"/>
  <c r="L21" i="6"/>
  <c r="K28" i="6"/>
  <c r="L28" i="6" s="1"/>
  <c r="J8" i="6"/>
  <c r="I8" i="6"/>
  <c r="G9" i="6"/>
  <c r="H9" i="6"/>
  <c r="F10" i="6"/>
  <c r="E10" i="6"/>
  <c r="D12" i="6" l="1"/>
  <c r="C12" i="6"/>
  <c r="B13" i="6"/>
  <c r="B15" i="6"/>
  <c r="H10" i="6"/>
  <c r="G10" i="6"/>
  <c r="I9" i="6"/>
  <c r="J9" i="6"/>
  <c r="K9" i="6" s="1"/>
  <c r="K8" i="6"/>
  <c r="E11" i="6"/>
  <c r="F11" i="6"/>
  <c r="L9" i="6" l="1"/>
  <c r="F12" i="6"/>
  <c r="E12" i="6"/>
  <c r="J10" i="6"/>
  <c r="I10" i="6"/>
  <c r="C13" i="6"/>
  <c r="C15" i="6" s="1"/>
  <c r="C31" i="6" s="1"/>
  <c r="D13" i="6"/>
  <c r="G11" i="6"/>
  <c r="H11" i="6"/>
  <c r="L8" i="6"/>
  <c r="I11" i="6" l="1"/>
  <c r="J11" i="6"/>
  <c r="K11" i="6" s="1"/>
  <c r="E13" i="6"/>
  <c r="F13" i="6"/>
  <c r="F15" i="6" s="1"/>
  <c r="H12" i="6"/>
  <c r="G12" i="6"/>
  <c r="D15" i="6"/>
  <c r="K10" i="6"/>
  <c r="L11" i="6" l="1"/>
  <c r="G13" i="6"/>
  <c r="G15" i="6" s="1"/>
  <c r="G31" i="6" s="1"/>
  <c r="H13" i="6"/>
  <c r="E15" i="6"/>
  <c r="E31" i="6" s="1"/>
  <c r="J12" i="6"/>
  <c r="I12" i="6"/>
  <c r="L10" i="6"/>
  <c r="K12" i="6" l="1"/>
  <c r="L12" i="6" s="1"/>
  <c r="I13" i="6"/>
  <c r="J13" i="6"/>
  <c r="K13" i="6" s="1"/>
  <c r="K15" i="6" s="1"/>
  <c r="K31" i="6" s="1"/>
  <c r="H15" i="6"/>
  <c r="I15" i="6" l="1"/>
  <c r="I31" i="6" s="1"/>
  <c r="L31" i="6" s="1"/>
  <c r="L13" i="6"/>
  <c r="L15" i="6" s="1"/>
  <c r="J15" i="6"/>
  <c r="F10" i="2" l="1"/>
  <c r="F12" i="2"/>
  <c r="F11" i="2"/>
  <c r="F11" i="1"/>
  <c r="F10" i="1"/>
  <c r="G10" i="1" s="1"/>
  <c r="G11" i="2" l="1"/>
  <c r="H12" i="2"/>
  <c r="G12" i="2"/>
  <c r="H10" i="2"/>
  <c r="G10" i="2"/>
  <c r="G11" i="1"/>
  <c r="J11" i="1"/>
  <c r="I11" i="1"/>
  <c r="H11" i="1"/>
  <c r="F9" i="2"/>
  <c r="I17" i="1" l="1"/>
  <c r="F7" i="9" s="1"/>
  <c r="G25" i="2"/>
  <c r="G29" i="2"/>
  <c r="D10" i="9" s="1"/>
  <c r="J29" i="2"/>
  <c r="G10" i="9" s="1"/>
  <c r="G8" i="9" s="1"/>
  <c r="H10" i="9"/>
  <c r="I29" i="2"/>
  <c r="F10" i="9" s="1"/>
  <c r="F8" i="9" s="1"/>
  <c r="K17" i="1"/>
  <c r="G17" i="1"/>
  <c r="D7" i="9" s="1"/>
  <c r="H17" i="1"/>
  <c r="E7" i="9" s="1"/>
  <c r="J17" i="1"/>
  <c r="G7" i="9" s="1"/>
  <c r="B6" i="5"/>
  <c r="B12" i="5"/>
  <c r="B9" i="5"/>
  <c r="G9" i="2" l="1"/>
  <c r="H9" i="2"/>
  <c r="H17" i="2"/>
  <c r="G17" i="2"/>
  <c r="H21" i="2"/>
  <c r="H8" i="9"/>
  <c r="I10" i="9"/>
  <c r="G21" i="2"/>
  <c r="H7" i="9"/>
  <c r="K6" i="1"/>
  <c r="F11" i="4"/>
  <c r="F14" i="4"/>
  <c r="G14" i="4" s="1"/>
  <c r="H14" i="4" s="1"/>
  <c r="I14" i="4" s="1"/>
  <c r="J14" i="4" s="1"/>
  <c r="H13" i="4" l="1"/>
  <c r="J13" i="4"/>
  <c r="J12" i="4"/>
  <c r="H12" i="4"/>
  <c r="G16" i="4"/>
  <c r="F16" i="4"/>
  <c r="H16" i="4"/>
  <c r="H15" i="4"/>
  <c r="F15" i="4"/>
  <c r="G15" i="4"/>
  <c r="H10" i="4"/>
  <c r="F10" i="4"/>
  <c r="I10" i="4"/>
  <c r="G10" i="4"/>
  <c r="I7" i="9"/>
  <c r="H5" i="9"/>
  <c r="I7" i="2"/>
  <c r="I9" i="4"/>
  <c r="F15" i="2"/>
  <c r="F16" i="2"/>
  <c r="G15" i="2" l="1"/>
  <c r="H16" i="2"/>
  <c r="G16" i="2"/>
  <c r="J7" i="4"/>
  <c r="H11" i="9" s="1"/>
  <c r="I7" i="4"/>
  <c r="G11" i="9" s="1"/>
  <c r="G8" i="4"/>
  <c r="G7" i="4" s="1"/>
  <c r="E11" i="9" s="1"/>
  <c r="H8" i="4"/>
  <c r="F8" i="4"/>
  <c r="F7" i="4" s="1"/>
  <c r="D11" i="9" s="1"/>
  <c r="J7" i="2"/>
  <c r="E7" i="4"/>
  <c r="F13" i="2"/>
  <c r="F8" i="2" s="1"/>
  <c r="C9" i="9" s="1"/>
  <c r="C10" i="5" s="1"/>
  <c r="F13" i="1"/>
  <c r="I13" i="1" l="1"/>
  <c r="I12" i="1" s="1"/>
  <c r="H13" i="1"/>
  <c r="H7" i="4"/>
  <c r="F11" i="9" s="1"/>
  <c r="I11" i="9" s="1"/>
  <c r="J13" i="1"/>
  <c r="F8" i="1"/>
  <c r="C12" i="5"/>
  <c r="C11" i="9"/>
  <c r="H13" i="2"/>
  <c r="H8" i="2" s="1"/>
  <c r="G13" i="2"/>
  <c r="G8" i="2" s="1"/>
  <c r="K7" i="2"/>
  <c r="F12" i="1"/>
  <c r="F7" i="1" l="1"/>
  <c r="C6" i="9" s="1"/>
  <c r="D9" i="9"/>
  <c r="D8" i="9" s="1"/>
  <c r="G7" i="2"/>
  <c r="E9" i="9"/>
  <c r="H7" i="2"/>
  <c r="H8" i="1"/>
  <c r="I8" i="1"/>
  <c r="I7" i="1" s="1"/>
  <c r="J8" i="1"/>
  <c r="G8" i="1"/>
  <c r="G7" i="1" s="1"/>
  <c r="C8" i="9"/>
  <c r="J12" i="1"/>
  <c r="H12" i="1"/>
  <c r="F7" i="2"/>
  <c r="J7" i="1" l="1"/>
  <c r="C7" i="5"/>
  <c r="D16" i="9"/>
  <c r="H7" i="1"/>
  <c r="E8" i="9"/>
  <c r="I8" i="9" s="1"/>
  <c r="I9" i="9"/>
  <c r="J6" i="1"/>
  <c r="D6" i="9"/>
  <c r="D5" i="9" s="1"/>
  <c r="G6" i="1"/>
  <c r="C5" i="9"/>
  <c r="C13" i="9" s="1"/>
  <c r="E6" i="9"/>
  <c r="E5" i="9" s="1"/>
  <c r="I6" i="1"/>
  <c r="F6" i="9"/>
  <c r="F5" i="9" s="1"/>
  <c r="C9" i="5"/>
  <c r="H6" i="1" l="1"/>
  <c r="G6" i="9"/>
  <c r="G5" i="9" s="1"/>
  <c r="I5" i="9" s="1"/>
  <c r="C6" i="5"/>
  <c r="F6" i="1"/>
  <c r="C14" i="5" l="1"/>
  <c r="D6" i="5"/>
  <c r="I6" i="9"/>
  <c r="D13" i="5" l="1"/>
  <c r="D12" i="5"/>
  <c r="D9" i="5"/>
  <c r="D14" i="5"/>
  <c r="G13" i="9"/>
  <c r="H13" i="9"/>
  <c r="H14" i="9" l="1"/>
  <c r="G14" i="9"/>
  <c r="F13" i="9" l="1"/>
  <c r="F14" i="9" l="1"/>
  <c r="E13" i="9"/>
  <c r="D13" i="9" l="1"/>
  <c r="I12" i="9"/>
  <c r="E14" i="9"/>
  <c r="I13" i="9" l="1"/>
  <c r="I14" i="9" s="1"/>
  <c r="D14" i="9"/>
  <c r="G20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anda</author>
  </authors>
  <commentList>
    <comment ref="B6" authorId="0" shapeId="0" xr:uid="{5488E73F-C4B0-4CE6-ADBD-6D99D8EB75C8}">
      <text>
        <r>
          <rPr>
            <b/>
            <sz val="9"/>
            <color indexed="81"/>
            <rFont val="Tahoma"/>
            <family val="2"/>
          </rPr>
          <t>anda:</t>
        </r>
        <r>
          <rPr>
            <sz val="9"/>
            <color indexed="81"/>
            <rFont val="Tahoma"/>
            <family val="2"/>
          </rPr>
          <t xml:space="preserve">
Incluye cargas socilaes</t>
        </r>
      </text>
    </comment>
    <comment ref="A20" authorId="0" shapeId="0" xr:uid="{D536956A-4D28-4397-ADCB-71ACB602708D}">
      <text>
        <r>
          <rPr>
            <b/>
            <sz val="9"/>
            <color indexed="81"/>
            <rFont val="Tahoma"/>
            <family val="2"/>
          </rPr>
          <t>anda:</t>
        </r>
        <r>
          <rPr>
            <sz val="9"/>
            <color indexed="81"/>
            <rFont val="Tahoma"/>
            <family val="2"/>
          </rPr>
          <t xml:space="preserve">
Se incluye camaras de seguridad, sistema de alarma</t>
        </r>
      </text>
    </comment>
    <comment ref="A21" authorId="0" shapeId="0" xr:uid="{37C21C4C-8D9E-4704-BEF4-41925E531BC7}">
      <text>
        <r>
          <rPr>
            <b/>
            <sz val="9"/>
            <color indexed="81"/>
            <rFont val="Tahoma"/>
            <family val="2"/>
          </rPr>
          <t>anda:</t>
        </r>
        <r>
          <rPr>
            <sz val="9"/>
            <color indexed="81"/>
            <rFont val="Tahoma"/>
            <family val="2"/>
          </rPr>
          <t xml:space="preserve">
Microondas, Refrigeradora, Oasis</t>
        </r>
      </text>
    </comment>
    <comment ref="A22" authorId="0" shapeId="0" xr:uid="{66FAAD50-F5AA-4303-B03B-B6901F2FD71C}">
      <text>
        <r>
          <rPr>
            <b/>
            <sz val="9"/>
            <color indexed="81"/>
            <rFont val="Tahoma"/>
            <family val="2"/>
          </rPr>
          <t>anda:</t>
        </r>
        <r>
          <rPr>
            <sz val="9"/>
            <color indexed="81"/>
            <rFont val="Tahoma"/>
            <family val="2"/>
          </rPr>
          <t xml:space="preserve">
Pizaras electronicas</t>
        </r>
      </text>
    </comment>
    <comment ref="A27" authorId="0" shapeId="0" xr:uid="{16B645E8-6F8E-4F5C-A5B9-BF0E6364D0D4}">
      <text>
        <r>
          <rPr>
            <b/>
            <sz val="9"/>
            <color indexed="81"/>
            <rFont val="Tahoma"/>
            <family val="2"/>
          </rPr>
          <t xml:space="preserve">anda:
Licencia de Agis, Arviue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 charles belley</author>
  </authors>
  <commentList>
    <comment ref="E9" authorId="0" shapeId="0" xr:uid="{7537DAD4-05FA-4A7B-A802-738E66576E10}">
      <text>
        <r>
          <rPr>
            <b/>
            <sz val="9"/>
            <color indexed="81"/>
            <rFont val="Tahoma"/>
            <family val="2"/>
          </rPr>
          <t>jean charles belley:</t>
        </r>
        <r>
          <rPr>
            <sz val="9"/>
            <color indexed="81"/>
            <rFont val="Tahoma"/>
            <family val="2"/>
          </rPr>
          <t xml:space="preserve">
Incorporacion de nuevos transformadores sobre los recintos con pozos adicionales</t>
        </r>
      </text>
    </comment>
  </commentList>
</comments>
</file>

<file path=xl/sharedStrings.xml><?xml version="1.0" encoding="utf-8"?>
<sst xmlns="http://schemas.openxmlformats.org/spreadsheetml/2006/main" count="658" uniqueCount="320">
  <si>
    <t xml:space="preserve">CUADRO DE COSTOS </t>
  </si>
  <si>
    <t>PROGRAMA DE AGUA POTABLE Y SANEAMIENTO EN EL SALVADOR</t>
  </si>
  <si>
    <t>ES-L 1152</t>
  </si>
  <si>
    <t>COMPONENTES</t>
  </si>
  <si>
    <t>TOTAL 
BID</t>
  </si>
  <si>
    <t>%</t>
  </si>
  <si>
    <t>Muestra</t>
  </si>
  <si>
    <t>Otras Inversiones fuera de la Muestra</t>
  </si>
  <si>
    <t>Administración, Evaluación y Auditoria</t>
  </si>
  <si>
    <t>TOTAL</t>
  </si>
  <si>
    <t>CUADRO DE DESEMBOLSOS</t>
  </si>
  <si>
    <t>TOTAL
BID</t>
  </si>
  <si>
    <t>Año 1</t>
  </si>
  <si>
    <t>Año 2</t>
  </si>
  <si>
    <t>Año3</t>
  </si>
  <si>
    <t>Año 4</t>
  </si>
  <si>
    <t>Año 5</t>
  </si>
  <si>
    <t>Total</t>
  </si>
  <si>
    <t>CUADRO DE COSTOS Y DESEMBOLSO</t>
  </si>
  <si>
    <t>BID (US$)</t>
  </si>
  <si>
    <t>Unidad</t>
  </si>
  <si>
    <t>Cantidad</t>
  </si>
  <si>
    <t>Costo Unitario (USD)</t>
  </si>
  <si>
    <t>Total BID
(USD)</t>
  </si>
  <si>
    <t>AÑO 1</t>
  </si>
  <si>
    <t>AÑO 2</t>
  </si>
  <si>
    <t>AÑO 3</t>
  </si>
  <si>
    <t>AÑO 4</t>
  </si>
  <si>
    <t>AÑO 5</t>
  </si>
  <si>
    <t>Componente 1 - Reducción de los niveles de agua no contabilizada</t>
  </si>
  <si>
    <t>MUESTRA DEL PROGRAMA</t>
  </si>
  <si>
    <t>Sectorización, regulación y monitoreo de la red de distribución (Sistema Zona Norte solamente)</t>
  </si>
  <si>
    <t>1.1.1</t>
  </si>
  <si>
    <t>Obra</t>
  </si>
  <si>
    <t>Suma alzada</t>
  </si>
  <si>
    <t>1.1.3</t>
  </si>
  <si>
    <t>Diseño Ejecutivo de Obra</t>
  </si>
  <si>
    <t>1.1.4</t>
  </si>
  <si>
    <t xml:space="preserve">Supervisión de Obra </t>
  </si>
  <si>
    <t>Rehabilitación y gestión del parque de medidores</t>
  </si>
  <si>
    <t>1.2.1</t>
  </si>
  <si>
    <t>Adquisición de 200 mil medidores</t>
  </si>
  <si>
    <t>Adquisición de bienes y herramientas para operación y gestión</t>
  </si>
  <si>
    <t>2.6.1</t>
  </si>
  <si>
    <t>Adquisición de equipos para a gestión de ANDA</t>
  </si>
  <si>
    <t>2.6.2</t>
  </si>
  <si>
    <t>Adquisición de maquinarias para la operación de ANDA</t>
  </si>
  <si>
    <t>OTRAS INVERSIONES FUERA DE LA MUESTRA</t>
  </si>
  <si>
    <t>Proyectos de sectorización, regulación y monitoreo de la red de distribución  en el AMSS que no están en la muestra implementados</t>
  </si>
  <si>
    <t>Total
(USD)</t>
  </si>
  <si>
    <t>BID
(USD)</t>
  </si>
  <si>
    <t xml:space="preserve">Componente 2 - Mejora de la eficiencia energética </t>
  </si>
  <si>
    <t>Refuerzo de la producción del Sistema Zona Norte</t>
  </si>
  <si>
    <t>2.1.1</t>
  </si>
  <si>
    <t>Obras</t>
  </si>
  <si>
    <t>2.1.2</t>
  </si>
  <si>
    <t>Diseño Ejecutivo (3% de obra)</t>
  </si>
  <si>
    <t>2.1.3</t>
  </si>
  <si>
    <t>Supervisión de Obra (7% de obra)</t>
  </si>
  <si>
    <t>Refuerzo de la Línea de Conducción entre Pozos y la Estación de Bombeo La Toma</t>
  </si>
  <si>
    <t>2.2.1</t>
  </si>
  <si>
    <t>2.2.2</t>
  </si>
  <si>
    <t>2.2.3</t>
  </si>
  <si>
    <t>Refuerzo de la Linea de Conducción La Toma / EB Central</t>
  </si>
  <si>
    <t>2.3.1</t>
  </si>
  <si>
    <t>2.3.2</t>
  </si>
  <si>
    <t>2.3.3</t>
  </si>
  <si>
    <t>Adecuación de la Conducción de la EB Central / EB San Ramón A</t>
  </si>
  <si>
    <t>2.4.1</t>
  </si>
  <si>
    <t>2.4.2</t>
  </si>
  <si>
    <t>2.4.3</t>
  </si>
  <si>
    <t>Rehabilitación Subestación Nejapa</t>
  </si>
  <si>
    <t>2.5.1</t>
  </si>
  <si>
    <t>2.5.2</t>
  </si>
  <si>
    <t>2.5.3</t>
  </si>
  <si>
    <t>Proyectos de mejora de la eficiencia energética que no están en la muestra implementados.</t>
  </si>
  <si>
    <t>Año2</t>
  </si>
  <si>
    <t>Año 3</t>
  </si>
  <si>
    <t>Componente 3 - Mejora de la Gestión</t>
  </si>
  <si>
    <t>Plan de desarrollo organizacional de ANDA diseñado e implementado</t>
  </si>
  <si>
    <t>Plan de accion de Gobierno Coporativo implementado ( al menos 3 actividades)</t>
  </si>
  <si>
    <t>Plan de modernizacion tecnologica  de ANDA diseñado e implementado</t>
  </si>
  <si>
    <t>Actividades de Genero</t>
  </si>
  <si>
    <t>Plan  Maestro Agua y Saneamiento para el Area Metropolitana de San Salvador desarrollado (aprobado por Junta) (en ejecución)</t>
  </si>
  <si>
    <t xml:space="preserve">Programa de Planificiación financiera y estrategica implementado </t>
  </si>
  <si>
    <t>Plan de comunicacion diseñado e implementado</t>
  </si>
  <si>
    <t>Normas tecnicas de ANDA actualizadas</t>
  </si>
  <si>
    <t>Laboratorio de calidad de agua equipado</t>
  </si>
  <si>
    <t>ES-L1152 - PRESUPUESTO Costo de Administración - US$</t>
  </si>
  <si>
    <t>año 1</t>
  </si>
  <si>
    <t>año 2</t>
  </si>
  <si>
    <t>año 3</t>
  </si>
  <si>
    <t>año 4</t>
  </si>
  <si>
    <t>año 5</t>
  </si>
  <si>
    <t>COSTO MENSUAL</t>
  </si>
  <si>
    <t xml:space="preserve">COSTO ANUAL </t>
  </si>
  <si>
    <t xml:space="preserve">TOTAL 
</t>
  </si>
  <si>
    <t>Director del Programa</t>
  </si>
  <si>
    <t>Esp. Financiero</t>
  </si>
  <si>
    <t>Esp. Adquisiciones</t>
  </si>
  <si>
    <t>Esp. Fortalecimiento Institucional</t>
  </si>
  <si>
    <t>Esp. Planificacion y Monitorieo</t>
  </si>
  <si>
    <t>Esp. Ambiental y Social</t>
  </si>
  <si>
    <t>Esp. Técnico (Agua No Contabilizada)</t>
  </si>
  <si>
    <t>Esp. Técnico (Efic. Energética)</t>
  </si>
  <si>
    <t>3 Profesionales de apoyo: AdmIn, Adquisiciones, Técnico</t>
  </si>
  <si>
    <t xml:space="preserve"> Subtotal Recursos Humanos personal UE</t>
  </si>
  <si>
    <t>Arrendamiento local</t>
  </si>
  <si>
    <t>Comunicacion Social - Logistica</t>
  </si>
  <si>
    <t>Seguridad y salud en el trabajo (EPP)</t>
  </si>
  <si>
    <t>Agua, luz</t>
  </si>
  <si>
    <t>Vigilancia (2 guardas, turnos de 24 horas)</t>
  </si>
  <si>
    <t xml:space="preserve">Aseo y Cafeteria </t>
  </si>
  <si>
    <t>Papeleria</t>
  </si>
  <si>
    <t>Vehiculo (3)</t>
  </si>
  <si>
    <t>Computadores  (11)</t>
  </si>
  <si>
    <t xml:space="preserve">Fotocopiadora </t>
  </si>
  <si>
    <t>Internet dedicado.</t>
  </si>
  <si>
    <t xml:space="preserve">Software  </t>
  </si>
  <si>
    <t>Subtotal Gastos de Operación y Logística UE</t>
  </si>
  <si>
    <t>Evaluacion intermedia y final</t>
  </si>
  <si>
    <t>Auditoria financiera programa</t>
  </si>
  <si>
    <t xml:space="preserve"> Costos Administración, M&amp;E Y Auditoria</t>
  </si>
  <si>
    <t>Costos Unitario</t>
  </si>
  <si>
    <t>Administración</t>
  </si>
  <si>
    <t>Auditoria</t>
  </si>
  <si>
    <t>Evaluación Intermedia</t>
  </si>
  <si>
    <t>Evaluación Final</t>
  </si>
  <si>
    <r>
      <t xml:space="preserve">PRESTAMO BID - ANDA - </t>
    </r>
    <r>
      <rPr>
        <b/>
        <sz val="14"/>
        <color rgb="FFFF0000"/>
        <rFont val="Calibri"/>
        <family val="2"/>
        <scheme val="minor"/>
      </rPr>
      <t>V0</t>
    </r>
  </si>
  <si>
    <t>150 MM USD</t>
  </si>
  <si>
    <t>100 MM USD</t>
  </si>
  <si>
    <t>DIFERENCIA</t>
  </si>
  <si>
    <t>Ref. Cuadro de Costos</t>
  </si>
  <si>
    <t>Descripción</t>
  </si>
  <si>
    <t>PU (USD)</t>
  </si>
  <si>
    <t xml:space="preserve"> P Total (USD)</t>
  </si>
  <si>
    <t>Import.</t>
  </si>
  <si>
    <t>Local</t>
  </si>
  <si>
    <t>M.O.</t>
  </si>
  <si>
    <t>ING./SUP.</t>
  </si>
  <si>
    <t>Componente</t>
  </si>
  <si>
    <t>REFUERZO DE LA PRODUCCIÓN DEL SISTEMA NORTE</t>
  </si>
  <si>
    <t>x</t>
  </si>
  <si>
    <t xml:space="preserve">6 nuevos pozos en recintos 3ª, 4 y 7 de Opico, Jabalí 1 y 2, Colombia 4 </t>
  </si>
  <si>
    <t>U</t>
  </si>
  <si>
    <t>Fondo para rehabilitación de los pozos existentes (equipos de bombeo, instrumentación, instalaciones eléctricas e hidromecánicas)</t>
  </si>
  <si>
    <t>Alimentacion eléctrica de nuevos pozos</t>
  </si>
  <si>
    <t>Pozos de Opico</t>
  </si>
  <si>
    <t>Pozos en Zona Colombia y Jabalí</t>
  </si>
  <si>
    <t>GESTIÓN DE LOS RECURSOS HÍDRICOS</t>
  </si>
  <si>
    <t>No</t>
  </si>
  <si>
    <t>Pozo de exploración Opico</t>
  </si>
  <si>
    <t>Censo de pozos y mapa piezométrico del acuífero</t>
  </si>
  <si>
    <t>Red de monitoreo con seguimiento estacional</t>
  </si>
  <si>
    <t>Modelización del acuífero con fines predictivos</t>
  </si>
  <si>
    <t>REFUERZO DE LAS CONDUCCIONES ENTRE POZOS Y LA ESTACIÓN DE BOMBEO LA TOMA</t>
  </si>
  <si>
    <t>Zona Opico:</t>
  </si>
  <si>
    <t>Tuberias</t>
  </si>
  <si>
    <t>Duplicación tuberia Tanque Opico - EB San Lorenzo - 24" - 2.5 km</t>
  </si>
  <si>
    <t>m</t>
  </si>
  <si>
    <t>Sustitución válvulas de aire de la conducción existente 24"</t>
  </si>
  <si>
    <t>Tuberías de refuerzo entre pozos y tanque Opico</t>
  </si>
  <si>
    <t>- 400m DN 24"</t>
  </si>
  <si>
    <t>- 500m DN 16"</t>
  </si>
  <si>
    <t>- 600m DN 10"</t>
  </si>
  <si>
    <t>- 100m DN 8"</t>
  </si>
  <si>
    <t>Nuevo tanque Opico - 4000 m3</t>
  </si>
  <si>
    <t>Equipos de monitoreo operacional</t>
  </si>
  <si>
    <t>- Macromedidor con data loggers (cada pozo)</t>
  </si>
  <si>
    <t>- Macromedidor con data logger salida tanque Opico actual 24"</t>
  </si>
  <si>
    <t>- Mediciones niveles con data logger de tanques Opico y Opico nuevo</t>
  </si>
  <si>
    <t>- Macromedidor DN 36" salida de San Lorenzo (control de continuidad de caudal)</t>
  </si>
  <si>
    <t>Sustitución valvulerias, empalme nueva conducción y puesta fuera de servicio Estación San Lorenzo</t>
  </si>
  <si>
    <t>Zona Colombia:</t>
  </si>
  <si>
    <t>Tuberías de refuerzo entre pozos y tanque Colombia</t>
  </si>
  <si>
    <t>- 500m DN 20"</t>
  </si>
  <si>
    <t>- 1000m DN 10"</t>
  </si>
  <si>
    <t>- Macromedidor con data logger salida tanque Colombia 20"</t>
  </si>
  <si>
    <t>- Mediciónes nivel con data logger del tanque Colombia</t>
  </si>
  <si>
    <t xml:space="preserve">- Macromedidor DN 36" salida existente de La Toma </t>
  </si>
  <si>
    <t>NUEVA ESTACIÓN LA TOMA</t>
  </si>
  <si>
    <t>Obras hidraulicas, electromecanicas y civiles</t>
  </si>
  <si>
    <t>Adquisición de terreno para estación nueva - 2000 m2</t>
  </si>
  <si>
    <t>m2</t>
  </si>
  <si>
    <t>Construcción de cisterna de rebombeo de 6000 m3</t>
  </si>
  <si>
    <t>Equipamiento electromecánico de la cisterna</t>
  </si>
  <si>
    <t>Equipamiento hidráulico de la cisterna (incluye equipos de bombeo)</t>
  </si>
  <si>
    <t>Construcción y equipamiento de cámara de cierre</t>
  </si>
  <si>
    <t>Construcción y equipamiento de cámara de medicion</t>
  </si>
  <si>
    <t>Construcción y equipamiento de cámara de interconexión</t>
  </si>
  <si>
    <t>Cerco perimétrico de albañilería confinada</t>
  </si>
  <si>
    <t>Instalaciones eléctricas interiores</t>
  </si>
  <si>
    <t>Cierre de infraestructura existente (desmotaje, sellado de cámaras y demoliciones)</t>
  </si>
  <si>
    <t>Habilitación del área de emplazamiento final</t>
  </si>
  <si>
    <t>Iluminación de la nueva EB</t>
  </si>
  <si>
    <t>Instalaciones eléctricas MT/BT</t>
  </si>
  <si>
    <t>Nueva alimentación a la EB La Toma desde ETESAL San Matías (Incluye Mano de Obra)</t>
  </si>
  <si>
    <t>Transformador 3MVA 23/4,16KV</t>
  </si>
  <si>
    <t>Tablero MT de alimentación a 9 motores nuevos</t>
  </si>
  <si>
    <t>Transformador 1MVA 23/0,24KV</t>
  </si>
  <si>
    <t>Tablero BT para alimentaciones generales</t>
  </si>
  <si>
    <t>Cables MT alimentación a motores</t>
  </si>
  <si>
    <t>Puntas MT para motores</t>
  </si>
  <si>
    <t>Canalizaciones</t>
  </si>
  <si>
    <t>Mano de obra</t>
  </si>
  <si>
    <t>REFUERZO DE LA LÍNEA DE CONDUCCIÓN LA TOMA - EB CENTRAL</t>
  </si>
  <si>
    <t>Duplicación de la conducción 36" en salida de la Toma hasta el Platanillo : 2.200m DN 36"</t>
  </si>
  <si>
    <t>Empalme con la conducción existente (Platanillo)</t>
  </si>
  <si>
    <t>REHABILITACIÓN DE LA EB CENTRAL</t>
  </si>
  <si>
    <t>Limpieza, desinfección y mantenimiento del Tanque Central (4000 m3)</t>
  </si>
  <si>
    <t>Construcción y equipamiento de cámara de ingreso al reservorio existente</t>
  </si>
  <si>
    <t>Construcción y equipamiento de cámara de interconexión entre reservorio existente y salida del reservorio de 4000 m3</t>
  </si>
  <si>
    <t>Suministro e instalación de tramo de 48" (L=180 m) entre la cisterna y la línea de impulsión existente</t>
  </si>
  <si>
    <t>Construcción y equipamiento de cámara de interconexión entre líneas de impulsión existente y proyectada</t>
  </si>
  <si>
    <t>Interruptores de potencia 23 kV CEL-ANDA (ANDA)</t>
  </si>
  <si>
    <t>Transformadores 23 kV/4.16 kV (ANDA)</t>
  </si>
  <si>
    <t>Acometida eléctrica a interruptor general 4.16 kV (ANDA)</t>
  </si>
  <si>
    <t>Interruptor general 4.16 kV (ANDA)</t>
  </si>
  <si>
    <t>Tablero MT de alimentación a 1 motor nuevo</t>
  </si>
  <si>
    <t>Arrancadores MT (viene de electromecánica ANDA)</t>
  </si>
  <si>
    <t>- Macromedidor salida EB Central DN 48"</t>
  </si>
  <si>
    <t>- Medición nivel tanque 4000 m3</t>
  </si>
  <si>
    <t>- Medición nivel nuevo tanque 6000 m3</t>
  </si>
  <si>
    <t>Paneles solares en tanque 25.000 m3</t>
  </si>
  <si>
    <t>Paneles solares de 350w</t>
  </si>
  <si>
    <t>Inverter (PRECIO FOB USD 106.000.-)</t>
  </si>
  <si>
    <t>Equipos de Media tension</t>
  </si>
  <si>
    <t>ADECUACIÓN DE LA CONDUCCIÓN EB CENTRAL - EB SAN RAMÓN A</t>
  </si>
  <si>
    <t>Adecuación de los cruces de quebradas</t>
  </si>
  <si>
    <t>Equipos de monitoreo de caudal y presión</t>
  </si>
  <si>
    <t>REHABILITACIÓN DE LA EB SAN RAMÓN A Y ESCALON A</t>
  </si>
  <si>
    <t>Limpieza, desinfección y mantenimiento del Tanque San Ramón A (20000 m3)</t>
  </si>
  <si>
    <t>Desmontaje y translado de equipos e instalaciones hidráulicas</t>
  </si>
  <si>
    <t>Rehabilitacion de estructuras civiles</t>
  </si>
  <si>
    <t>Nueva alimentación a la EB, tendido subterráneo desde CAESS Nejapa</t>
  </si>
  <si>
    <t>Rehabilitación Subestacion Nejapa</t>
  </si>
  <si>
    <t xml:space="preserve">Obra civil construcción Sala para instalación de celdas de media tensión </t>
  </si>
  <si>
    <t>Interruptores de potencia para bypass de la linea ZN - Torogoz (viene de Electromecánica ANDA)</t>
  </si>
  <si>
    <t>Tablero MT de alimentación</t>
  </si>
  <si>
    <t xml:space="preserve">Puntas MT </t>
  </si>
  <si>
    <t>SISTEMA DE CONTROL - ALIMENTACIÓN EN ENERGÍA MT DEL SISTEMA NORTE</t>
  </si>
  <si>
    <t>Gabinete estación de monitoreo y control estaciones de Bombeo</t>
  </si>
  <si>
    <t>Diseño e ingeniería de sistema de Control y comunicaciones de RTUs</t>
  </si>
  <si>
    <t>Medidor de energia Sentron PAC3220 para medición de variables V, I, P, FP, Kw, KWh, Kvar.</t>
  </si>
  <si>
    <t>Vibration Switch, 0-4.5 G, NEMA 4 Housing, a instalar en Motores Verticales. Incluy instalacion y cableado a remotas</t>
  </si>
  <si>
    <t>Instalación y cableado de donas de corriente hacia RTU</t>
  </si>
  <si>
    <t>Instalación y alimentación de RTU</t>
  </si>
  <si>
    <t>Desarrollo de sistema de visualizacion y control. Pruebas y programacion de los PLC en las estaciones de bombeo.</t>
  </si>
  <si>
    <t>Sistema de supervisión y control SCADA</t>
  </si>
  <si>
    <t>Sistema de Servidores Virtualizados y Clients</t>
  </si>
  <si>
    <t>Trabajos en MT para alimentación eléctrica en sistema anillo</t>
  </si>
  <si>
    <t>Alimentación de energía en MT secundaria a Estación de Bombeo San Ramón A y B desde CAESS San Antonio Abad</t>
  </si>
  <si>
    <t>Alimentación de energía en MT secundaria a Estación de Bombeo Escalón A desde CAESS San Antonio Abad</t>
  </si>
  <si>
    <t>Alimentación de energía en MT secundaria a Estación de Bombeo Central desde CAESS Apopa</t>
  </si>
  <si>
    <r>
      <t xml:space="preserve">REHABILITACIÓN DE SISTEMAS TRADICIONALES </t>
    </r>
    <r>
      <rPr>
        <i/>
        <sz val="10"/>
        <rFont val="Calibri"/>
        <family val="2"/>
        <scheme val="minor"/>
      </rPr>
      <t>(Evaluación ANDA)</t>
    </r>
  </si>
  <si>
    <t>Rehabilitación sistemas tradiciónales San Salvador (29)</t>
  </si>
  <si>
    <t>Rehabilitación sistemas tradiciónales La Libertad, Cuscatlan, San Vicente, La Paz (19)</t>
  </si>
  <si>
    <r>
      <t xml:space="preserve">SECTORIZACIÓN, REGULACIÓN Y MONITOREO DE LA RED DE DISTRIBUCIÓN - </t>
    </r>
    <r>
      <rPr>
        <sz val="11"/>
        <color rgb="FFFF0000"/>
        <rFont val="Calibri"/>
        <family val="2"/>
        <scheme val="minor"/>
      </rPr>
      <t>Sistema Norte solamente (Etapa 1)</t>
    </r>
  </si>
  <si>
    <t>Si</t>
  </si>
  <si>
    <t>Implementacion de la sectorizacion</t>
  </si>
  <si>
    <t>Cambio o instalación de válvulas de aislamiento</t>
  </si>
  <si>
    <t xml:space="preserve">Regulación de presión </t>
  </si>
  <si>
    <t>Instalación de válvulas de tanque (definición ANDA)</t>
  </si>
  <si>
    <t>Sustitución de válvulas de tanque (definición ANDA)</t>
  </si>
  <si>
    <t>Monitoreo de la red de distribución</t>
  </si>
  <si>
    <t>Macromedidores de sectores de distribución con data logger y cámara</t>
  </si>
  <si>
    <t>Macromedidores en salida de tanques y estaciones de bombeo existentes</t>
  </si>
  <si>
    <t>Medición de niveles de tanques de cabeza</t>
  </si>
  <si>
    <t>Sensores de presión permanentes</t>
  </si>
  <si>
    <t>Desarrollo e implementación Sistema de Gestión de Medición (SCADA o similar)</t>
  </si>
  <si>
    <t>Refuerzos de redes primarias</t>
  </si>
  <si>
    <r>
      <t xml:space="preserve">SECTORIZACIÓN, REGULACIÓN Y MONITOREO DE LA RED DE DISTRIBUCIÓN - </t>
    </r>
    <r>
      <rPr>
        <sz val="11"/>
        <color rgb="FFFF0000"/>
        <rFont val="Calibri"/>
        <family val="2"/>
        <scheme val="minor"/>
      </rPr>
      <t>Resto del AMSS (Etapa 2)</t>
    </r>
  </si>
  <si>
    <t>Desinfección y rehabilitación de reservorio (definición ANDA)</t>
  </si>
  <si>
    <t>REHABILITACIÓN Y REFUERZOS DE REDES DE DISTRIBUCIÓN EXISTENTES</t>
  </si>
  <si>
    <t>Sector piloto Sistema Norte (del orden de 20 km de red y 2 a 3.000 acometidas) - Etapa 1</t>
  </si>
  <si>
    <t>Otros programas a definir posteriormente - Etapa 2</t>
  </si>
  <si>
    <t>GESTIÓN DEL PLAN DE OBRAS (Preinversión)</t>
  </si>
  <si>
    <t xml:space="preserve">Ingeniería y supervisión de obras </t>
  </si>
  <si>
    <t>Incluido en monto de obras</t>
  </si>
  <si>
    <t>REHABILITACIÓN Y GESTIÓN DEL PARQUE DE MEDIDORES</t>
  </si>
  <si>
    <t>Bancos de medidores y equipos de analisis de consumo</t>
  </si>
  <si>
    <t>Bancos de medidores de pequeño diámetro</t>
  </si>
  <si>
    <t>Banco de medidores de gran diámetro</t>
  </si>
  <si>
    <t>Kits de perfiles de consumo</t>
  </si>
  <si>
    <t>Renovación selectiva del parque de medidores (suministro e instalacion)</t>
  </si>
  <si>
    <r>
      <t xml:space="preserve">Medidores 1/2" a 3/4" </t>
    </r>
    <r>
      <rPr>
        <i/>
        <sz val="11"/>
        <color theme="1"/>
        <rFont val="Calibri"/>
        <family val="2"/>
        <scheme val="minor"/>
      </rPr>
      <t>(financiamiento por el programa de 2 años de actividad, luego autofinanciado por ANDA)</t>
    </r>
  </si>
  <si>
    <t>Medidores 1" a 1 1/2"</t>
  </si>
  <si>
    <t>Medidores 2" y 2 1/2"</t>
  </si>
  <si>
    <t>Medidores 3"</t>
  </si>
  <si>
    <t>Medidores 4"</t>
  </si>
  <si>
    <t>Medidores 6"</t>
  </si>
  <si>
    <t>ADQUISICIONES DE BIENES Y HERRAMIENTAS PARA OPERACIÓN Y GESTIÓN</t>
  </si>
  <si>
    <t>Adquisición de equipos informáticos (desktop, laptops, smartphones, tablets,…)</t>
  </si>
  <si>
    <t>Adquisición de herramientas, accesorios y repuestos para mantenimiento de las instalaciones técnicas y redes de distribución</t>
  </si>
  <si>
    <t>Maquina limpiadora de pozos (ANDA)</t>
  </si>
  <si>
    <t>Compresor 350 PSI montado en camión (ANDA)</t>
  </si>
  <si>
    <t>Grúa telescópica 18 toneladas montada en camión (ANDA)</t>
  </si>
  <si>
    <t>Camión grúa aislado tipo canasta para trabajos en MT (ANDA)</t>
  </si>
  <si>
    <t>Montacargas 3 toneladas (ANDA)</t>
  </si>
  <si>
    <t>Remodelación del taller electromecánico de la Zona Norte (ANDA)</t>
  </si>
  <si>
    <t>ITEMS FORTALECIMIENTO INSTITUCIONAL VERSION 17/5/2022</t>
  </si>
  <si>
    <t>Adquisición de equipos de laboratorio</t>
  </si>
  <si>
    <t>Actualización Normas Técnicas de ANDA</t>
  </si>
  <si>
    <t>Plan de modernizacion tecnologica  de ANDA diseñado e implementado ( xxxx)</t>
  </si>
  <si>
    <t>Plan  Maestro Agua y Saneamiento para el Area Metropolitana de San Salvador desarrolado (aprobado por Junta) (en ejecución)</t>
  </si>
  <si>
    <t>MONTO TOTAL Componentes</t>
  </si>
  <si>
    <t>Falta por disminuir</t>
  </si>
  <si>
    <t>Total Original</t>
  </si>
  <si>
    <t>Total Ajustado</t>
  </si>
  <si>
    <t>Reducción</t>
  </si>
  <si>
    <t>C1</t>
  </si>
  <si>
    <t>C2</t>
  </si>
  <si>
    <t>C3</t>
  </si>
  <si>
    <t>Total Comp</t>
  </si>
  <si>
    <t>Administracion</t>
  </si>
  <si>
    <t>Plan de modernizacion tecnologica  de ANDA diseñado e implementado (diseño + RP)</t>
  </si>
  <si>
    <t>Adquisición de equipos para la Unidad de Genero</t>
  </si>
  <si>
    <t xml:space="preserve">Política y diagnóstico de género actualizado </t>
  </si>
  <si>
    <t>Módulo de indicadores de género en el sistema de información desarrollado</t>
  </si>
  <si>
    <t xml:space="preserve">Estrategia institucional de inclusión laboral de personas con discapacidad entre los trabajadores de ANDA diseñada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</si>
</sst>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* #,##0_-;\-* #,##0_-;_-* &quot;-&quot;??_-;_-@_-"/>
    <numFmt numFmtId="168" formatCode="_(* #,##0_);_(* \(#,##0\);_(* &quot;-&quot;??_);_(@_)"/>
    <numFmt numFmtId="169" formatCode="0.0000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3" tint="-0.249977111117893"/>
      <name val="Calibri"/>
      <family val="2"/>
      <scheme val="minor"/>
    </font>
    <font>
      <sz val="8"/>
      <color theme="3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7" borderId="0" applyNumberFormat="0" applyBorder="0" applyAlignment="0" applyProtection="0"/>
  </cellStyleXfs>
  <cellXfs count="675">
    <xf numFmtId="0" fontId="0" fillId="0" borderId="0" xfId="0"/>
    <xf numFmtId="0" fontId="3" fillId="0" borderId="0" xfId="0" applyFont="1" applyAlignment="1">
      <alignment horizontal="right"/>
    </xf>
    <xf numFmtId="164" fontId="5" fillId="3" borderId="1" xfId="2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2" fillId="0" borderId="0" xfId="0" applyFont="1"/>
    <xf numFmtId="0" fontId="5" fillId="4" borderId="1" xfId="0" applyFont="1" applyFill="1" applyBorder="1" applyAlignment="1">
      <alignment horizontal="left"/>
    </xf>
    <xf numFmtId="164" fontId="5" fillId="4" borderId="1" xfId="2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167" fontId="5" fillId="0" borderId="1" xfId="1" applyNumberFormat="1" applyFont="1" applyFill="1" applyBorder="1" applyAlignment="1">
      <alignment horizontal="center"/>
    </xf>
    <xf numFmtId="167" fontId="5" fillId="0" borderId="1" xfId="2" applyNumberFormat="1" applyFont="1" applyFill="1" applyBorder="1"/>
    <xf numFmtId="167" fontId="3" fillId="0" borderId="1" xfId="2" applyNumberFormat="1" applyFont="1" applyFill="1" applyBorder="1"/>
    <xf numFmtId="167" fontId="6" fillId="0" borderId="1" xfId="2" applyNumberFormat="1" applyFont="1" applyFill="1" applyBorder="1"/>
    <xf numFmtId="0" fontId="3" fillId="0" borderId="1" xfId="0" applyFont="1" applyBorder="1" applyAlignment="1">
      <alignment horizontal="left"/>
    </xf>
    <xf numFmtId="0" fontId="2" fillId="5" borderId="1" xfId="0" applyFont="1" applyFill="1" applyBorder="1"/>
    <xf numFmtId="0" fontId="7" fillId="5" borderId="1" xfId="0" applyFont="1" applyFill="1" applyBorder="1"/>
    <xf numFmtId="0" fontId="7" fillId="5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right"/>
    </xf>
    <xf numFmtId="167" fontId="3" fillId="0" borderId="1" xfId="2" applyNumberFormat="1" applyFont="1" applyFill="1" applyBorder="1" applyAlignment="1">
      <alignment horizontal="right"/>
    </xf>
    <xf numFmtId="9" fontId="0" fillId="0" borderId="0" xfId="3" applyFont="1"/>
    <xf numFmtId="0" fontId="2" fillId="0" borderId="1" xfId="0" applyFont="1" applyBorder="1"/>
    <xf numFmtId="166" fontId="0" fillId="0" borderId="0" xfId="0" applyNumberFormat="1"/>
    <xf numFmtId="167" fontId="2" fillId="0" borderId="1" xfId="1" applyNumberFormat="1" applyFont="1" applyBorder="1"/>
    <xf numFmtId="0" fontId="8" fillId="0" borderId="0" xfId="0" applyFont="1"/>
    <xf numFmtId="0" fontId="3" fillId="0" borderId="0" xfId="0" applyFont="1"/>
    <xf numFmtId="0" fontId="15" fillId="9" borderId="7" xfId="0" applyFont="1" applyFill="1" applyBorder="1" applyAlignment="1">
      <alignment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vertical="center" wrapText="1"/>
    </xf>
    <xf numFmtId="0" fontId="4" fillId="9" borderId="12" xfId="0" applyFont="1" applyFill="1" applyBorder="1" applyAlignment="1">
      <alignment horizontal="center" vertical="center" wrapText="1"/>
    </xf>
    <xf numFmtId="168" fontId="4" fillId="9" borderId="13" xfId="1" applyNumberFormat="1" applyFont="1" applyFill="1" applyBorder="1" applyAlignment="1">
      <alignment horizontal="center" vertical="center" wrapText="1"/>
    </xf>
    <xf numFmtId="168" fontId="4" fillId="9" borderId="14" xfId="1" applyNumberFormat="1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vertical="center" wrapText="1"/>
    </xf>
    <xf numFmtId="168" fontId="4" fillId="10" borderId="17" xfId="0" applyNumberFormat="1" applyFont="1" applyFill="1" applyBorder="1" applyAlignment="1">
      <alignment horizontal="center" vertical="center"/>
    </xf>
    <xf numFmtId="168" fontId="4" fillId="9" borderId="18" xfId="0" applyNumberFormat="1" applyFont="1" applyFill="1" applyBorder="1" applyAlignment="1">
      <alignment horizontal="center" vertical="center"/>
    </xf>
    <xf numFmtId="168" fontId="4" fillId="9" borderId="17" xfId="0" applyNumberFormat="1" applyFont="1" applyFill="1" applyBorder="1" applyAlignment="1">
      <alignment horizontal="center" vertical="center"/>
    </xf>
    <xf numFmtId="168" fontId="4" fillId="9" borderId="19" xfId="0" applyNumberFormat="1" applyFont="1" applyFill="1" applyBorder="1" applyAlignment="1">
      <alignment horizontal="center" vertical="center"/>
    </xf>
    <xf numFmtId="3" fontId="15" fillId="9" borderId="20" xfId="0" applyNumberFormat="1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vertical="center" wrapText="1"/>
    </xf>
    <xf numFmtId="168" fontId="4" fillId="10" borderId="22" xfId="0" applyNumberFormat="1" applyFont="1" applyFill="1" applyBorder="1" applyAlignment="1">
      <alignment horizontal="center" vertical="center"/>
    </xf>
    <xf numFmtId="168" fontId="4" fillId="9" borderId="23" xfId="0" applyNumberFormat="1" applyFont="1" applyFill="1" applyBorder="1" applyAlignment="1">
      <alignment horizontal="center" vertical="center"/>
    </xf>
    <xf numFmtId="168" fontId="4" fillId="9" borderId="24" xfId="0" applyNumberFormat="1" applyFont="1" applyFill="1" applyBorder="1" applyAlignment="1">
      <alignment horizontal="center" vertical="center"/>
    </xf>
    <xf numFmtId="3" fontId="15" fillId="9" borderId="15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vertical="center" wrapText="1"/>
    </xf>
    <xf numFmtId="168" fontId="4" fillId="10" borderId="0" xfId="0" applyNumberFormat="1" applyFont="1" applyFill="1" applyAlignment="1">
      <alignment horizontal="center" vertical="center"/>
    </xf>
    <xf numFmtId="0" fontId="4" fillId="5" borderId="20" xfId="0" applyFont="1" applyFill="1" applyBorder="1" applyAlignment="1">
      <alignment vertical="center"/>
    </xf>
    <xf numFmtId="168" fontId="4" fillId="5" borderId="3" xfId="0" applyNumberFormat="1" applyFont="1" applyFill="1" applyBorder="1" applyAlignment="1">
      <alignment vertical="center" wrapText="1"/>
    </xf>
    <xf numFmtId="0" fontId="6" fillId="9" borderId="15" xfId="0" applyFont="1" applyFill="1" applyBorder="1" applyAlignment="1">
      <alignment horizontal="left" vertical="center" wrapText="1" indent="2"/>
    </xf>
    <xf numFmtId="168" fontId="6" fillId="10" borderId="1" xfId="0" applyNumberFormat="1" applyFont="1" applyFill="1" applyBorder="1" applyAlignment="1">
      <alignment horizontal="center" vertical="center"/>
    </xf>
    <xf numFmtId="168" fontId="6" fillId="9" borderId="1" xfId="0" applyNumberFormat="1" applyFont="1" applyFill="1" applyBorder="1" applyAlignment="1">
      <alignment horizontal="center" vertical="center"/>
    </xf>
    <xf numFmtId="168" fontId="6" fillId="9" borderId="1" xfId="1" applyNumberFormat="1" applyFont="1" applyFill="1" applyBorder="1" applyAlignment="1">
      <alignment vertical="center" wrapText="1"/>
    </xf>
    <xf numFmtId="3" fontId="16" fillId="9" borderId="1" xfId="4" applyNumberFormat="1" applyFont="1" applyFill="1" applyBorder="1" applyAlignment="1">
      <alignment vertical="center" wrapText="1"/>
    </xf>
    <xf numFmtId="168" fontId="9" fillId="0" borderId="1" xfId="0" applyNumberFormat="1" applyFont="1" applyBorder="1" applyAlignment="1">
      <alignment horizontal="center" vertical="center"/>
    </xf>
    <xf numFmtId="168" fontId="9" fillId="0" borderId="1" xfId="1" applyNumberFormat="1" applyFont="1" applyFill="1" applyBorder="1" applyAlignment="1">
      <alignment vertical="center" wrapText="1"/>
    </xf>
    <xf numFmtId="3" fontId="9" fillId="0" borderId="1" xfId="4" applyNumberFormat="1" applyFont="1" applyFill="1" applyBorder="1" applyAlignment="1">
      <alignment vertical="center" wrapText="1"/>
    </xf>
    <xf numFmtId="0" fontId="4" fillId="5" borderId="26" xfId="0" applyFont="1" applyFill="1" applyBorder="1" applyAlignment="1">
      <alignment vertical="center"/>
    </xf>
    <xf numFmtId="168" fontId="4" fillId="5" borderId="27" xfId="0" applyNumberFormat="1" applyFont="1" applyFill="1" applyBorder="1" applyAlignment="1">
      <alignment vertical="center" wrapText="1"/>
    </xf>
    <xf numFmtId="3" fontId="15" fillId="5" borderId="27" xfId="4" applyNumberFormat="1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168" fontId="4" fillId="11" borderId="1" xfId="1" applyNumberFormat="1" applyFont="1" applyFill="1" applyBorder="1" applyAlignment="1">
      <alignment vertical="center" wrapText="1"/>
    </xf>
    <xf numFmtId="168" fontId="4" fillId="10" borderId="1" xfId="1" applyNumberFormat="1" applyFont="1" applyFill="1" applyBorder="1" applyAlignment="1">
      <alignment vertical="center" wrapText="1"/>
    </xf>
    <xf numFmtId="3" fontId="15" fillId="9" borderId="1" xfId="4" applyNumberFormat="1" applyFont="1" applyFill="1" applyBorder="1" applyAlignment="1">
      <alignment vertical="center" wrapText="1"/>
    </xf>
    <xf numFmtId="0" fontId="4" fillId="11" borderId="26" xfId="5" applyFont="1" applyFill="1" applyBorder="1" applyAlignment="1">
      <alignment vertical="center" wrapText="1"/>
    </xf>
    <xf numFmtId="168" fontId="4" fillId="11" borderId="27" xfId="5" applyNumberFormat="1" applyFont="1" applyFill="1" applyBorder="1" applyAlignment="1">
      <alignment vertical="center" wrapText="1"/>
    </xf>
    <xf numFmtId="3" fontId="4" fillId="11" borderId="27" xfId="5" applyNumberFormat="1" applyFont="1" applyFill="1" applyBorder="1" applyAlignment="1">
      <alignment vertical="center" wrapText="1"/>
    </xf>
    <xf numFmtId="3" fontId="3" fillId="0" borderId="0" xfId="0" applyNumberFormat="1" applyFont="1"/>
    <xf numFmtId="0" fontId="17" fillId="0" borderId="0" xfId="0" applyFont="1"/>
    <xf numFmtId="0" fontId="17" fillId="0" borderId="0" xfId="0" applyFont="1" applyAlignment="1">
      <alignment horizontal="center"/>
    </xf>
    <xf numFmtId="168" fontId="17" fillId="0" borderId="0" xfId="1" applyNumberFormat="1" applyFont="1" applyAlignment="1">
      <alignment horizontal="center"/>
    </xf>
    <xf numFmtId="14" fontId="18" fillId="6" borderId="0" xfId="0" applyNumberFormat="1" applyFont="1" applyFill="1"/>
    <xf numFmtId="9" fontId="2" fillId="0" borderId="0" xfId="3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1" applyNumberFormat="1" applyFont="1" applyAlignment="1">
      <alignment horizontal="center"/>
    </xf>
    <xf numFmtId="9" fontId="0" fillId="0" borderId="0" xfId="3" applyFont="1" applyAlignment="1">
      <alignment horizontal="center"/>
    </xf>
    <xf numFmtId="168" fontId="12" fillId="13" borderId="1" xfId="1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9" fontId="19" fillId="13" borderId="0" xfId="3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8" fontId="2" fillId="5" borderId="1" xfId="1" applyNumberFormat="1" applyFont="1" applyFill="1" applyBorder="1" applyAlignment="1">
      <alignment horizontal="center"/>
    </xf>
    <xf numFmtId="168" fontId="2" fillId="5" borderId="1" xfId="0" applyNumberFormat="1" applyFont="1" applyFill="1" applyBorder="1" applyAlignment="1">
      <alignment horizontal="center"/>
    </xf>
    <xf numFmtId="168" fontId="20" fillId="5" borderId="1" xfId="1" applyNumberFormat="1" applyFont="1" applyFill="1" applyBorder="1" applyAlignment="1">
      <alignment horizontal="center"/>
    </xf>
    <xf numFmtId="0" fontId="2" fillId="5" borderId="0" xfId="0" applyFont="1" applyFill="1"/>
    <xf numFmtId="0" fontId="21" fillId="0" borderId="28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68" fontId="0" fillId="0" borderId="1" xfId="1" applyNumberFormat="1" applyFont="1" applyBorder="1" applyAlignment="1">
      <alignment horizontal="center"/>
    </xf>
    <xf numFmtId="0" fontId="0" fillId="0" borderId="1" xfId="0" applyBorder="1"/>
    <xf numFmtId="9" fontId="22" fillId="0" borderId="1" xfId="0" applyNumberFormat="1" applyFont="1" applyBorder="1"/>
    <xf numFmtId="0" fontId="21" fillId="0" borderId="29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22" fillId="0" borderId="1" xfId="0" applyFont="1" applyBorder="1"/>
    <xf numFmtId="0" fontId="2" fillId="5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 indent="1"/>
    </xf>
    <xf numFmtId="0" fontId="2" fillId="14" borderId="1" xfId="0" applyFont="1" applyFill="1" applyBorder="1" applyAlignment="1">
      <alignment horizontal="center"/>
    </xf>
    <xf numFmtId="168" fontId="2" fillId="14" borderId="1" xfId="1" applyNumberFormat="1" applyFont="1" applyFill="1" applyBorder="1" applyAlignment="1">
      <alignment horizontal="center"/>
    </xf>
    <xf numFmtId="168" fontId="20" fillId="14" borderId="1" xfId="0" applyNumberFormat="1" applyFont="1" applyFill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center"/>
    </xf>
    <xf numFmtId="168" fontId="2" fillId="0" borderId="1" xfId="1" applyNumberFormat="1" applyFont="1" applyFill="1" applyBorder="1" applyAlignment="1">
      <alignment horizontal="center"/>
    </xf>
    <xf numFmtId="168" fontId="20" fillId="0" borderId="1" xfId="1" applyNumberFormat="1" applyFont="1" applyFill="1" applyBorder="1" applyAlignment="1">
      <alignment horizontal="center"/>
    </xf>
    <xf numFmtId="168" fontId="23" fillId="0" borderId="1" xfId="1" applyNumberFormat="1" applyFont="1" applyBorder="1" applyAlignment="1">
      <alignment horizontal="center"/>
    </xf>
    <xf numFmtId="0" fontId="0" fillId="0" borderId="1" xfId="0" quotePrefix="1" applyBorder="1" applyAlignment="1">
      <alignment horizontal="left" indent="1"/>
    </xf>
    <xf numFmtId="9" fontId="22" fillId="0" borderId="1" xfId="3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/>
    </xf>
    <xf numFmtId="168" fontId="25" fillId="0" borderId="1" xfId="1" applyNumberFormat="1" applyFont="1" applyFill="1" applyBorder="1" applyAlignment="1">
      <alignment horizontal="center"/>
    </xf>
    <xf numFmtId="168" fontId="0" fillId="0" borderId="1" xfId="1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left" indent="2"/>
    </xf>
    <xf numFmtId="0" fontId="23" fillId="0" borderId="1" xfId="0" applyFont="1" applyBorder="1" applyAlignment="1">
      <alignment horizontal="center"/>
    </xf>
    <xf numFmtId="168" fontId="23" fillId="0" borderId="1" xfId="1" applyNumberFormat="1" applyFont="1" applyFill="1" applyBorder="1" applyAlignment="1">
      <alignment horizontal="center"/>
    </xf>
    <xf numFmtId="0" fontId="23" fillId="0" borderId="0" xfId="0" applyFont="1"/>
    <xf numFmtId="0" fontId="0" fillId="0" borderId="1" xfId="0" applyBorder="1" applyAlignment="1">
      <alignment horizontal="left" indent="2"/>
    </xf>
    <xf numFmtId="0" fontId="8" fillId="0" borderId="1" xfId="0" applyFont="1" applyBorder="1" applyAlignment="1">
      <alignment horizontal="center"/>
    </xf>
    <xf numFmtId="168" fontId="8" fillId="0" borderId="1" xfId="1" applyNumberFormat="1" applyFont="1" applyBorder="1" applyAlignment="1">
      <alignment horizontal="center"/>
    </xf>
    <xf numFmtId="0" fontId="23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left" indent="1"/>
    </xf>
    <xf numFmtId="0" fontId="7" fillId="0" borderId="1" xfId="0" applyFont="1" applyBorder="1" applyAlignment="1">
      <alignment horizontal="center"/>
    </xf>
    <xf numFmtId="168" fontId="7" fillId="0" borderId="1" xfId="1" applyNumberFormat="1" applyFont="1" applyBorder="1" applyAlignment="1">
      <alignment horizontal="center"/>
    </xf>
    <xf numFmtId="168" fontId="7" fillId="0" borderId="1" xfId="1" applyNumberFormat="1" applyFont="1" applyFill="1" applyBorder="1" applyAlignment="1">
      <alignment horizontal="center"/>
    </xf>
    <xf numFmtId="0" fontId="10" fillId="6" borderId="0" xfId="0" applyFont="1" applyFill="1"/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left" wrapText="1" indent="2"/>
    </xf>
    <xf numFmtId="168" fontId="0" fillId="0" borderId="0" xfId="0" applyNumberFormat="1"/>
    <xf numFmtId="0" fontId="2" fillId="0" borderId="1" xfId="0" applyFont="1" applyBorder="1" applyAlignment="1">
      <alignment horizontal="left"/>
    </xf>
    <xf numFmtId="168" fontId="27" fillId="0" borderId="1" xfId="1" applyNumberFormat="1" applyFont="1" applyFill="1" applyBorder="1" applyAlignment="1">
      <alignment horizontal="center"/>
    </xf>
    <xf numFmtId="168" fontId="0" fillId="0" borderId="1" xfId="1" applyNumberFormat="1" applyFont="1" applyBorder="1" applyAlignment="1"/>
    <xf numFmtId="168" fontId="1" fillId="0" borderId="1" xfId="1" applyNumberFormat="1" applyFont="1" applyBorder="1"/>
    <xf numFmtId="168" fontId="2" fillId="0" borderId="2" xfId="1" applyNumberFormat="1" applyFont="1" applyFill="1" applyBorder="1" applyAlignment="1">
      <alignment vertical="top"/>
    </xf>
    <xf numFmtId="168" fontId="25" fillId="0" borderId="1" xfId="0" applyNumberFormat="1" applyFont="1" applyBorder="1"/>
    <xf numFmtId="168" fontId="1" fillId="0" borderId="1" xfId="1" applyNumberFormat="1" applyFont="1" applyFill="1" applyBorder="1" applyAlignment="1">
      <alignment vertical="top"/>
    </xf>
    <xf numFmtId="9" fontId="25" fillId="0" borderId="1" xfId="0" applyNumberFormat="1" applyFont="1" applyBorder="1" applyAlignment="1">
      <alignment horizontal="center"/>
    </xf>
    <xf numFmtId="168" fontId="1" fillId="0" borderId="1" xfId="1" applyNumberFormat="1" applyFont="1" applyBorder="1" applyAlignment="1">
      <alignment vertical="center"/>
    </xf>
    <xf numFmtId="9" fontId="2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8" fontId="30" fillId="13" borderId="1" xfId="0" applyNumberFormat="1" applyFont="1" applyFill="1" applyBorder="1"/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21" fillId="0" borderId="1" xfId="0" applyFont="1" applyBorder="1" applyAlignment="1">
      <alignment horizontal="left" indent="1"/>
    </xf>
    <xf numFmtId="0" fontId="31" fillId="0" borderId="0" xfId="0" applyFont="1"/>
    <xf numFmtId="0" fontId="3" fillId="0" borderId="1" xfId="0" applyFont="1" applyBorder="1"/>
    <xf numFmtId="167" fontId="3" fillId="0" borderId="1" xfId="1" applyNumberFormat="1" applyFont="1" applyBorder="1"/>
    <xf numFmtId="0" fontId="5" fillId="5" borderId="1" xfId="0" applyFont="1" applyFill="1" applyBorder="1"/>
    <xf numFmtId="167" fontId="5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167" fontId="21" fillId="0" borderId="1" xfId="1" applyNumberFormat="1" applyFont="1" applyBorder="1"/>
    <xf numFmtId="167" fontId="0" fillId="0" borderId="0" xfId="1" applyNumberFormat="1" applyFont="1"/>
    <xf numFmtId="0" fontId="2" fillId="12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center"/>
    </xf>
    <xf numFmtId="168" fontId="2" fillId="12" borderId="1" xfId="1" applyNumberFormat="1" applyFont="1" applyFill="1" applyBorder="1" applyAlignment="1">
      <alignment horizontal="center"/>
    </xf>
    <xf numFmtId="0" fontId="2" fillId="12" borderId="1" xfId="0" applyFont="1" applyFill="1" applyBorder="1"/>
    <xf numFmtId="168" fontId="2" fillId="12" borderId="1" xfId="0" applyNumberFormat="1" applyFont="1" applyFill="1" applyBorder="1" applyAlignment="1">
      <alignment horizontal="center"/>
    </xf>
    <xf numFmtId="168" fontId="20" fillId="12" borderId="1" xfId="1" applyNumberFormat="1" applyFont="1" applyFill="1" applyBorder="1" applyAlignment="1">
      <alignment horizontal="center"/>
    </xf>
    <xf numFmtId="167" fontId="2" fillId="0" borderId="0" xfId="0" applyNumberFormat="1" applyFont="1"/>
    <xf numFmtId="0" fontId="0" fillId="0" borderId="1" xfId="0" applyBorder="1" applyAlignment="1">
      <alignment vertical="center"/>
    </xf>
    <xf numFmtId="9" fontId="22" fillId="0" borderId="2" xfId="0" applyNumberFormat="1" applyFont="1" applyBorder="1" applyAlignment="1">
      <alignment vertical="center"/>
    </xf>
    <xf numFmtId="9" fontId="22" fillId="0" borderId="3" xfId="0" applyNumberFormat="1" applyFont="1" applyBorder="1" applyAlignment="1">
      <alignment vertical="center"/>
    </xf>
    <xf numFmtId="0" fontId="2" fillId="12" borderId="0" xfId="0" applyFont="1" applyFill="1"/>
    <xf numFmtId="0" fontId="7" fillId="12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center"/>
    </xf>
    <xf numFmtId="168" fontId="7" fillId="12" borderId="1" xfId="1" applyNumberFormat="1" applyFont="1" applyFill="1" applyBorder="1" applyAlignment="1">
      <alignment horizontal="center"/>
    </xf>
    <xf numFmtId="0" fontId="7" fillId="12" borderId="1" xfId="0" applyFont="1" applyFill="1" applyBorder="1"/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9" fontId="2" fillId="0" borderId="0" xfId="3" applyFont="1" applyAlignment="1">
      <alignment horizontal="right"/>
    </xf>
    <xf numFmtId="0" fontId="32" fillId="0" borderId="0" xfId="0" applyFont="1"/>
    <xf numFmtId="0" fontId="34" fillId="3" borderId="1" xfId="0" applyFont="1" applyFill="1" applyBorder="1" applyAlignment="1">
      <alignment horizontal="left"/>
    </xf>
    <xf numFmtId="3" fontId="34" fillId="3" borderId="1" xfId="0" applyNumberFormat="1" applyFont="1" applyFill="1" applyBorder="1" applyAlignment="1">
      <alignment horizontal="right"/>
    </xf>
    <xf numFmtId="167" fontId="32" fillId="0" borderId="1" xfId="2" applyNumberFormat="1" applyFont="1" applyFill="1" applyBorder="1" applyAlignment="1">
      <alignment horizontal="right"/>
    </xf>
    <xf numFmtId="0" fontId="35" fillId="0" borderId="0" xfId="0" applyFont="1"/>
    <xf numFmtId="0" fontId="36" fillId="0" borderId="1" xfId="0" applyFont="1" applyBorder="1" applyAlignment="1">
      <alignment horizontal="center"/>
    </xf>
    <xf numFmtId="167" fontId="36" fillId="0" borderId="1" xfId="2" applyNumberFormat="1" applyFont="1" applyFill="1" applyBorder="1" applyAlignment="1">
      <alignment horizontal="right"/>
    </xf>
    <xf numFmtId="0" fontId="36" fillId="0" borderId="0" xfId="0" applyFont="1"/>
    <xf numFmtId="0" fontId="34" fillId="0" borderId="1" xfId="0" applyFont="1" applyBorder="1" applyAlignment="1">
      <alignment horizontal="center"/>
    </xf>
    <xf numFmtId="167" fontId="34" fillId="0" borderId="1" xfId="2" applyNumberFormat="1" applyFont="1" applyFill="1" applyBorder="1" applyAlignment="1">
      <alignment horizontal="right"/>
    </xf>
    <xf numFmtId="0" fontId="34" fillId="0" borderId="0" xfId="0" applyFont="1"/>
    <xf numFmtId="0" fontId="3" fillId="0" borderId="1" xfId="0" applyFont="1" applyBorder="1" applyAlignment="1">
      <alignment horizontal="left" wrapText="1"/>
    </xf>
    <xf numFmtId="0" fontId="34" fillId="0" borderId="1" xfId="0" applyFont="1" applyBorder="1" applyAlignment="1">
      <alignment horizontal="left" wrapText="1"/>
    </xf>
    <xf numFmtId="0" fontId="36" fillId="0" borderId="1" xfId="0" applyFont="1" applyBorder="1" applyAlignment="1">
      <alignment horizontal="left" wrapText="1"/>
    </xf>
    <xf numFmtId="0" fontId="32" fillId="0" borderId="0" xfId="0" applyFont="1" applyAlignment="1">
      <alignment wrapText="1"/>
    </xf>
    <xf numFmtId="168" fontId="23" fillId="0" borderId="1" xfId="1" applyNumberFormat="1" applyFont="1" applyFill="1" applyBorder="1"/>
    <xf numFmtId="0" fontId="31" fillId="0" borderId="1" xfId="0" applyFont="1" applyBorder="1" applyAlignment="1">
      <alignment horizontal="right"/>
    </xf>
    <xf numFmtId="9" fontId="2" fillId="5" borderId="1" xfId="3" applyFont="1" applyFill="1" applyBorder="1"/>
    <xf numFmtId="9" fontId="2" fillId="0" borderId="1" xfId="3" applyFont="1" applyBorder="1" applyAlignment="1">
      <alignment horizontal="right"/>
    </xf>
    <xf numFmtId="169" fontId="0" fillId="0" borderId="0" xfId="0" applyNumberFormat="1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5" fillId="4" borderId="4" xfId="2" applyFont="1" applyFill="1" applyBorder="1" applyAlignment="1">
      <alignment horizontal="left"/>
    </xf>
    <xf numFmtId="167" fontId="5" fillId="0" borderId="4" xfId="2" applyNumberFormat="1" applyFont="1" applyFill="1" applyBorder="1" applyAlignment="1">
      <alignment vertical="center"/>
    </xf>
    <xf numFmtId="167" fontId="6" fillId="0" borderId="4" xfId="2" applyNumberFormat="1" applyFont="1" applyBorder="1"/>
    <xf numFmtId="167" fontId="5" fillId="0" borderId="4" xfId="2" applyNumberFormat="1" applyFont="1" applyFill="1" applyBorder="1"/>
    <xf numFmtId="164" fontId="5" fillId="4" borderId="6" xfId="2" applyFont="1" applyFill="1" applyBorder="1" applyAlignment="1">
      <alignment horizontal="left"/>
    </xf>
    <xf numFmtId="167" fontId="5" fillId="0" borderId="6" xfId="2" applyNumberFormat="1" applyFont="1" applyFill="1" applyBorder="1" applyAlignment="1">
      <alignment vertical="center"/>
    </xf>
    <xf numFmtId="167" fontId="6" fillId="0" borderId="6" xfId="2" applyNumberFormat="1" applyFont="1" applyBorder="1"/>
    <xf numFmtId="167" fontId="5" fillId="0" borderId="6" xfId="2" applyNumberFormat="1" applyFont="1" applyFill="1" applyBorder="1"/>
    <xf numFmtId="164" fontId="5" fillId="3" borderId="15" xfId="2" applyFont="1" applyFill="1" applyBorder="1" applyAlignment="1">
      <alignment horizontal="left"/>
    </xf>
    <xf numFmtId="164" fontId="5" fillId="4" borderId="15" xfId="2" applyFont="1" applyFill="1" applyBorder="1" applyAlignment="1">
      <alignment horizontal="left"/>
    </xf>
    <xf numFmtId="167" fontId="5" fillId="0" borderId="15" xfId="2" applyNumberFormat="1" applyFont="1" applyFill="1" applyBorder="1"/>
    <xf numFmtId="0" fontId="5" fillId="4" borderId="15" xfId="0" applyFont="1" applyFill="1" applyBorder="1" applyAlignment="1">
      <alignment horizontal="left"/>
    </xf>
    <xf numFmtId="49" fontId="4" fillId="0" borderId="15" xfId="0" applyNumberFormat="1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left"/>
    </xf>
    <xf numFmtId="164" fontId="5" fillId="3" borderId="25" xfId="2" applyFont="1" applyFill="1" applyBorder="1" applyAlignment="1">
      <alignment horizontal="left"/>
    </xf>
    <xf numFmtId="164" fontId="5" fillId="3" borderId="45" xfId="2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7" fontId="2" fillId="0" borderId="6" xfId="1" applyNumberFormat="1" applyFont="1" applyBorder="1"/>
    <xf numFmtId="167" fontId="21" fillId="0" borderId="6" xfId="1" applyNumberFormat="1" applyFont="1" applyBorder="1"/>
    <xf numFmtId="167" fontId="2" fillId="0" borderId="15" xfId="1" applyNumberFormat="1" applyFont="1" applyBorder="1"/>
    <xf numFmtId="167" fontId="2" fillId="0" borderId="35" xfId="1" applyNumberFormat="1" applyFont="1" applyBorder="1"/>
    <xf numFmtId="167" fontId="21" fillId="0" borderId="15" xfId="1" applyNumberFormat="1" applyFont="1" applyBorder="1"/>
    <xf numFmtId="167" fontId="21" fillId="0" borderId="35" xfId="1" applyNumberFormat="1" applyFont="1" applyBorder="1"/>
    <xf numFmtId="167" fontId="2" fillId="0" borderId="20" xfId="1" applyNumberFormat="1" applyFont="1" applyBorder="1"/>
    <xf numFmtId="167" fontId="2" fillId="0" borderId="44" xfId="1" applyNumberFormat="1" applyFont="1" applyBorder="1"/>
    <xf numFmtId="167" fontId="2" fillId="0" borderId="25" xfId="1" applyNumberFormat="1" applyFont="1" applyBorder="1"/>
    <xf numFmtId="167" fontId="2" fillId="5" borderId="1" xfId="0" applyNumberFormat="1" applyFont="1" applyFill="1" applyBorder="1"/>
    <xf numFmtId="167" fontId="0" fillId="0" borderId="0" xfId="0" applyNumberFormat="1"/>
    <xf numFmtId="167" fontId="2" fillId="5" borderId="51" xfId="0" applyNumberFormat="1" applyFont="1" applyFill="1" applyBorder="1"/>
    <xf numFmtId="167" fontId="2" fillId="5" borderId="32" xfId="0" applyNumberFormat="1" applyFont="1" applyFill="1" applyBorder="1"/>
    <xf numFmtId="167" fontId="3" fillId="0" borderId="4" xfId="2" applyNumberFormat="1" applyFont="1" applyFill="1" applyBorder="1"/>
    <xf numFmtId="167" fontId="3" fillId="0" borderId="15" xfId="2" applyNumberFormat="1" applyFont="1" applyFill="1" applyBorder="1"/>
    <xf numFmtId="167" fontId="6" fillId="0" borderId="15" xfId="2" applyNumberFormat="1" applyFont="1" applyFill="1" applyBorder="1"/>
    <xf numFmtId="167" fontId="3" fillId="0" borderId="26" xfId="2" applyNumberFormat="1" applyFont="1" applyFill="1" applyBorder="1"/>
    <xf numFmtId="167" fontId="3" fillId="0" borderId="27" xfId="2" applyNumberFormat="1" applyFont="1" applyFill="1" applyBorder="1"/>
    <xf numFmtId="167" fontId="3" fillId="0" borderId="6" xfId="2" applyNumberFormat="1" applyFont="1" applyFill="1" applyBorder="1"/>
    <xf numFmtId="49" fontId="6" fillId="0" borderId="15" xfId="0" applyNumberFormat="1" applyFont="1" applyBorder="1" applyAlignment="1">
      <alignment horizontal="left" indent="1"/>
    </xf>
    <xf numFmtId="49" fontId="6" fillId="0" borderId="26" xfId="0" applyNumberFormat="1" applyFont="1" applyBorder="1" applyAlignment="1">
      <alignment horizontal="left"/>
    </xf>
    <xf numFmtId="0" fontId="3" fillId="0" borderId="27" xfId="0" applyFont="1" applyBorder="1" applyAlignment="1">
      <alignment horizontal="center"/>
    </xf>
    <xf numFmtId="0" fontId="6" fillId="0" borderId="15" xfId="0" applyFont="1" applyBorder="1" applyAlignment="1">
      <alignment horizontal="left" vertical="center" wrapText="1" indent="2"/>
    </xf>
    <xf numFmtId="166" fontId="0" fillId="0" borderId="0" xfId="1" applyFont="1"/>
    <xf numFmtId="0" fontId="2" fillId="0" borderId="0" xfId="0" applyFont="1" applyAlignment="1">
      <alignment horizontal="center"/>
    </xf>
    <xf numFmtId="0" fontId="0" fillId="16" borderId="43" xfId="0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4" fillId="2" borderId="4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168" fontId="2" fillId="0" borderId="30" xfId="0" applyNumberFormat="1" applyFont="1" applyBorder="1" applyAlignment="1">
      <alignment horizontal="center"/>
    </xf>
    <xf numFmtId="9" fontId="25" fillId="0" borderId="3" xfId="3" applyFont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2" fillId="16" borderId="43" xfId="0" applyFont="1" applyFill="1" applyBorder="1" applyAlignment="1">
      <alignment horizontal="center" vertical="center"/>
    </xf>
    <xf numFmtId="0" fontId="2" fillId="15" borderId="55" xfId="0" applyFont="1" applyFill="1" applyBorder="1" applyAlignment="1">
      <alignment horizontal="center" vertical="center"/>
    </xf>
    <xf numFmtId="164" fontId="5" fillId="3" borderId="56" xfId="2" applyFont="1" applyFill="1" applyBorder="1" applyAlignment="1">
      <alignment horizontal="left"/>
    </xf>
    <xf numFmtId="164" fontId="5" fillId="4" borderId="57" xfId="2" applyFont="1" applyFill="1" applyBorder="1" applyAlignment="1">
      <alignment horizontal="left"/>
    </xf>
    <xf numFmtId="167" fontId="5" fillId="0" borderId="57" xfId="2" applyNumberFormat="1" applyFont="1" applyFill="1" applyBorder="1" applyAlignment="1">
      <alignment vertical="center"/>
    </xf>
    <xf numFmtId="167" fontId="6" fillId="0" borderId="57" xfId="2" applyNumberFormat="1" applyFont="1" applyBorder="1"/>
    <xf numFmtId="167" fontId="5" fillId="0" borderId="57" xfId="2" applyNumberFormat="1" applyFont="1" applyFill="1" applyBorder="1"/>
    <xf numFmtId="167" fontId="5" fillId="0" borderId="58" xfId="2" applyNumberFormat="1" applyFont="1" applyFill="1" applyBorder="1"/>
    <xf numFmtId="167" fontId="3" fillId="0" borderId="58" xfId="2" applyNumberFormat="1" applyFont="1" applyFill="1" applyBorder="1"/>
    <xf numFmtId="167" fontId="4" fillId="0" borderId="37" xfId="2" applyNumberFormat="1" applyFont="1" applyBorder="1" applyAlignment="1">
      <alignment horizontal="left" vertical="center"/>
    </xf>
    <xf numFmtId="167" fontId="4" fillId="0" borderId="59" xfId="2" applyNumberFormat="1" applyFont="1" applyBorder="1" applyAlignment="1">
      <alignment horizontal="left" vertical="center"/>
    </xf>
    <xf numFmtId="164" fontId="5" fillId="3" borderId="60" xfId="2" applyFont="1" applyFill="1" applyBorder="1" applyAlignment="1">
      <alignment horizontal="left"/>
    </xf>
    <xf numFmtId="164" fontId="5" fillId="4" borderId="61" xfId="2" applyFont="1" applyFill="1" applyBorder="1" applyAlignment="1">
      <alignment horizontal="left"/>
    </xf>
    <xf numFmtId="167" fontId="5" fillId="0" borderId="61" xfId="2" applyNumberFormat="1" applyFont="1" applyFill="1" applyBorder="1" applyAlignment="1">
      <alignment vertical="center"/>
    </xf>
    <xf numFmtId="167" fontId="6" fillId="0" borderId="61" xfId="2" applyNumberFormat="1" applyFont="1" applyBorder="1"/>
    <xf numFmtId="167" fontId="5" fillId="0" borderId="61" xfId="2" applyNumberFormat="1" applyFont="1" applyFill="1" applyBorder="1"/>
    <xf numFmtId="167" fontId="3" fillId="0" borderId="61" xfId="2" applyNumberFormat="1" applyFont="1" applyFill="1" applyBorder="1"/>
    <xf numFmtId="167" fontId="4" fillId="0" borderId="62" xfId="2" applyNumberFormat="1" applyFont="1" applyBorder="1" applyAlignment="1">
      <alignment horizontal="left" vertical="center"/>
    </xf>
    <xf numFmtId="0" fontId="2" fillId="15" borderId="42" xfId="0" applyFont="1" applyFill="1" applyBorder="1" applyAlignment="1">
      <alignment horizontal="center" vertical="center"/>
    </xf>
    <xf numFmtId="164" fontId="5" fillId="3" borderId="63" xfId="2" applyFont="1" applyFill="1" applyBorder="1" applyAlignment="1">
      <alignment horizontal="left"/>
    </xf>
    <xf numFmtId="164" fontId="5" fillId="4" borderId="58" xfId="2" applyFont="1" applyFill="1" applyBorder="1" applyAlignment="1">
      <alignment horizontal="left"/>
    </xf>
    <xf numFmtId="167" fontId="5" fillId="0" borderId="58" xfId="2" applyNumberFormat="1" applyFont="1" applyFill="1" applyBorder="1" applyAlignment="1">
      <alignment vertical="center"/>
    </xf>
    <xf numFmtId="167" fontId="6" fillId="0" borderId="58" xfId="2" applyNumberFormat="1" applyFont="1" applyBorder="1"/>
    <xf numFmtId="167" fontId="4" fillId="0" borderId="64" xfId="2" applyNumberFormat="1" applyFont="1" applyBorder="1" applyAlignment="1">
      <alignment horizontal="left" vertical="center"/>
    </xf>
    <xf numFmtId="0" fontId="2" fillId="16" borderId="55" xfId="0" applyFont="1" applyFill="1" applyBorder="1" applyAlignment="1">
      <alignment horizontal="center" vertical="center"/>
    </xf>
    <xf numFmtId="167" fontId="3" fillId="0" borderId="57" xfId="2" applyNumberFormat="1" applyFont="1" applyFill="1" applyBorder="1"/>
    <xf numFmtId="49" fontId="4" fillId="0" borderId="26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center" vertical="center"/>
    </xf>
    <xf numFmtId="167" fontId="4" fillId="0" borderId="27" xfId="1" applyNumberFormat="1" applyFont="1" applyFill="1" applyBorder="1" applyAlignment="1">
      <alignment horizontal="left" vertical="center"/>
    </xf>
    <xf numFmtId="0" fontId="4" fillId="2" borderId="50" xfId="0" applyFont="1" applyFill="1" applyBorder="1" applyAlignment="1">
      <alignment horizontal="center" vertical="center" wrapText="1"/>
    </xf>
    <xf numFmtId="167" fontId="5" fillId="0" borderId="38" xfId="2" applyNumberFormat="1" applyFont="1" applyBorder="1" applyAlignment="1">
      <alignment horizontal="left" vertical="center"/>
    </xf>
    <xf numFmtId="0" fontId="0" fillId="15" borderId="55" xfId="0" applyFill="1" applyBorder="1" applyAlignment="1">
      <alignment horizontal="center"/>
    </xf>
    <xf numFmtId="164" fontId="5" fillId="3" borderId="61" xfId="2" applyFont="1" applyFill="1" applyBorder="1" applyAlignment="1">
      <alignment horizontal="left"/>
    </xf>
    <xf numFmtId="167" fontId="6" fillId="0" borderId="61" xfId="2" applyNumberFormat="1" applyFont="1" applyFill="1" applyBorder="1"/>
    <xf numFmtId="167" fontId="3" fillId="0" borderId="62" xfId="2" applyNumberFormat="1" applyFont="1" applyFill="1" applyBorder="1"/>
    <xf numFmtId="164" fontId="5" fillId="3" borderId="57" xfId="2" applyFont="1" applyFill="1" applyBorder="1" applyAlignment="1">
      <alignment horizontal="left"/>
    </xf>
    <xf numFmtId="167" fontId="6" fillId="0" borderId="57" xfId="2" applyNumberFormat="1" applyFont="1" applyFill="1" applyBorder="1"/>
    <xf numFmtId="167" fontId="3" fillId="0" borderId="59" xfId="2" applyNumberFormat="1" applyFont="1" applyFill="1" applyBorder="1"/>
    <xf numFmtId="0" fontId="0" fillId="15" borderId="28" xfId="0" applyFill="1" applyBorder="1" applyAlignment="1">
      <alignment horizontal="center"/>
    </xf>
    <xf numFmtId="9" fontId="2" fillId="0" borderId="0" xfId="3" applyFont="1" applyFill="1" applyAlignment="1">
      <alignment horizontal="center"/>
    </xf>
    <xf numFmtId="9" fontId="2" fillId="0" borderId="0" xfId="3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0" xfId="3" applyFont="1" applyFill="1" applyAlignment="1">
      <alignment horizontal="center"/>
    </xf>
    <xf numFmtId="9" fontId="19" fillId="0" borderId="0" xfId="3" applyFont="1" applyFill="1" applyBorder="1" applyAlignment="1">
      <alignment horizontal="center"/>
    </xf>
    <xf numFmtId="0" fontId="2" fillId="17" borderId="1" xfId="0" applyFont="1" applyFill="1" applyBorder="1"/>
    <xf numFmtId="0" fontId="2" fillId="17" borderId="1" xfId="0" applyFont="1" applyFill="1" applyBorder="1" applyAlignment="1">
      <alignment horizontal="center"/>
    </xf>
    <xf numFmtId="168" fontId="2" fillId="17" borderId="1" xfId="1" applyNumberFormat="1" applyFont="1" applyFill="1" applyBorder="1" applyAlignment="1">
      <alignment horizontal="center"/>
    </xf>
    <xf numFmtId="168" fontId="2" fillId="17" borderId="2" xfId="0" applyNumberFormat="1" applyFont="1" applyFill="1" applyBorder="1" applyAlignment="1">
      <alignment horizontal="center"/>
    </xf>
    <xf numFmtId="168" fontId="20" fillId="17" borderId="1" xfId="1" applyNumberFormat="1" applyFont="1" applyFill="1" applyBorder="1" applyAlignment="1">
      <alignment horizontal="center"/>
    </xf>
    <xf numFmtId="168" fontId="20" fillId="0" borderId="0" xfId="1" applyNumberFormat="1" applyFont="1" applyFill="1" applyBorder="1" applyAlignment="1">
      <alignment horizontal="center"/>
    </xf>
    <xf numFmtId="0" fontId="2" fillId="17" borderId="0" xfId="0" applyFont="1" applyFill="1" applyAlignment="1">
      <alignment horizontal="center" vertical="center"/>
    </xf>
    <xf numFmtId="168" fontId="2" fillId="17" borderId="0" xfId="0" applyNumberFormat="1" applyFont="1" applyFill="1"/>
    <xf numFmtId="168" fontId="0" fillId="0" borderId="4" xfId="1" applyNumberFormat="1" applyFont="1" applyBorder="1" applyAlignment="1">
      <alignment horizontal="center"/>
    </xf>
    <xf numFmtId="0" fontId="0" fillId="0" borderId="2" xfId="0" applyBorder="1"/>
    <xf numFmtId="9" fontId="22" fillId="0" borderId="6" xfId="0" applyNumberFormat="1" applyFont="1" applyBorder="1"/>
    <xf numFmtId="9" fontId="22" fillId="0" borderId="0" xfId="0" applyNumberFormat="1" applyFont="1"/>
    <xf numFmtId="0" fontId="0" fillId="0" borderId="30" xfId="0" applyBorder="1"/>
    <xf numFmtId="168" fontId="23" fillId="0" borderId="4" xfId="1" applyNumberFormat="1" applyFont="1" applyFill="1" applyBorder="1" applyAlignment="1">
      <alignment horizontal="center"/>
    </xf>
    <xf numFmtId="0" fontId="0" fillId="0" borderId="3" xfId="0" applyBorder="1"/>
    <xf numFmtId="0" fontId="22" fillId="0" borderId="6" xfId="0" applyFont="1" applyBorder="1"/>
    <xf numFmtId="0" fontId="8" fillId="0" borderId="1" xfId="0" applyFont="1" applyBorder="1" applyAlignment="1">
      <alignment horizontal="left" indent="1"/>
    </xf>
    <xf numFmtId="168" fontId="8" fillId="0" borderId="4" xfId="1" applyNumberFormat="1" applyFont="1" applyBorder="1" applyAlignment="1">
      <alignment horizontal="center"/>
    </xf>
    <xf numFmtId="0" fontId="8" fillId="0" borderId="30" xfId="0" applyFont="1" applyBorder="1"/>
    <xf numFmtId="9" fontId="29" fillId="0" borderId="6" xfId="0" applyNumberFormat="1" applyFont="1" applyBorder="1"/>
    <xf numFmtId="9" fontId="29" fillId="0" borderId="1" xfId="0" applyNumberFormat="1" applyFont="1" applyBorder="1"/>
    <xf numFmtId="9" fontId="29" fillId="0" borderId="0" xfId="0" applyNumberFormat="1" applyFont="1"/>
    <xf numFmtId="167" fontId="8" fillId="0" borderId="0" xfId="1" applyNumberFormat="1" applyFont="1"/>
    <xf numFmtId="0" fontId="8" fillId="0" borderId="0" xfId="0" applyFont="1" applyAlignment="1">
      <alignment horizontal="center"/>
    </xf>
    <xf numFmtId="0" fontId="8" fillId="0" borderId="3" xfId="0" applyFont="1" applyBorder="1"/>
    <xf numFmtId="0" fontId="29" fillId="0" borderId="1" xfId="0" applyFont="1" applyBorder="1"/>
    <xf numFmtId="0" fontId="2" fillId="17" borderId="1" xfId="0" applyFont="1" applyFill="1" applyBorder="1" applyAlignment="1">
      <alignment horizontal="left"/>
    </xf>
    <xf numFmtId="168" fontId="2" fillId="17" borderId="30" xfId="0" applyNumberFormat="1" applyFont="1" applyFill="1" applyBorder="1" applyAlignment="1">
      <alignment horizontal="center"/>
    </xf>
    <xf numFmtId="168" fontId="2" fillId="0" borderId="4" xfId="0" applyNumberFormat="1" applyFont="1" applyBorder="1" applyAlignment="1">
      <alignment horizontal="center"/>
    </xf>
    <xf numFmtId="0" fontId="2" fillId="14" borderId="2" xfId="0" applyFont="1" applyFill="1" applyBorder="1"/>
    <xf numFmtId="168" fontId="20" fillId="14" borderId="6" xfId="0" applyNumberFormat="1" applyFont="1" applyFill="1" applyBorder="1"/>
    <xf numFmtId="168" fontId="20" fillId="0" borderId="0" xfId="0" applyNumberFormat="1" applyFont="1"/>
    <xf numFmtId="0" fontId="2" fillId="0" borderId="30" xfId="0" applyFont="1" applyBorder="1"/>
    <xf numFmtId="168" fontId="20" fillId="0" borderId="6" xfId="1" applyNumberFormat="1" applyFont="1" applyFill="1" applyBorder="1" applyAlignment="1">
      <alignment horizontal="center"/>
    </xf>
    <xf numFmtId="168" fontId="23" fillId="0" borderId="4" xfId="1" applyNumberFormat="1" applyFont="1" applyBorder="1" applyAlignment="1">
      <alignment horizontal="center"/>
    </xf>
    <xf numFmtId="9" fontId="24" fillId="0" borderId="0" xfId="3" applyFont="1" applyFill="1" applyBorder="1" applyAlignment="1">
      <alignment horizontal="center" vertical="center"/>
    </xf>
    <xf numFmtId="9" fontId="22" fillId="0" borderId="6" xfId="3" applyFont="1" applyBorder="1" applyAlignment="1">
      <alignment horizontal="center" vertical="center"/>
    </xf>
    <xf numFmtId="9" fontId="22" fillId="0" borderId="0" xfId="3" applyFont="1" applyFill="1" applyBorder="1" applyAlignment="1">
      <alignment horizontal="center" vertical="center"/>
    </xf>
    <xf numFmtId="168" fontId="2" fillId="0" borderId="4" xfId="1" applyNumberFormat="1" applyFont="1" applyBorder="1" applyAlignment="1">
      <alignment horizontal="center"/>
    </xf>
    <xf numFmtId="168" fontId="2" fillId="14" borderId="4" xfId="1" applyNumberFormat="1" applyFont="1" applyFill="1" applyBorder="1" applyAlignment="1">
      <alignment horizontal="center"/>
    </xf>
    <xf numFmtId="0" fontId="2" fillId="14" borderId="30" xfId="0" applyFont="1" applyFill="1" applyBorder="1"/>
    <xf numFmtId="168" fontId="0" fillId="0" borderId="4" xfId="0" applyNumberFormat="1" applyBorder="1" applyAlignment="1">
      <alignment horizontal="center"/>
    </xf>
    <xf numFmtId="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8" fontId="2" fillId="0" borderId="4" xfId="0" applyNumberFormat="1" applyFont="1" applyBorder="1"/>
    <xf numFmtId="168" fontId="25" fillId="0" borderId="6" xfId="1" applyNumberFormat="1" applyFont="1" applyFill="1" applyBorder="1" applyAlignment="1">
      <alignment horizontal="center"/>
    </xf>
    <xf numFmtId="168" fontId="25" fillId="0" borderId="0" xfId="1" applyNumberFormat="1" applyFont="1" applyFill="1" applyBorder="1" applyAlignment="1">
      <alignment horizontal="center"/>
    </xf>
    <xf numFmtId="168" fontId="2" fillId="0" borderId="0" xfId="0" applyNumberFormat="1" applyFont="1"/>
    <xf numFmtId="168" fontId="1" fillId="0" borderId="4" xfId="1" applyNumberFormat="1" applyFont="1" applyBorder="1" applyAlignment="1">
      <alignment horizontal="center"/>
    </xf>
    <xf numFmtId="9" fontId="25" fillId="0" borderId="0" xfId="3" applyFont="1" applyFill="1" applyBorder="1" applyAlignment="1">
      <alignment horizontal="center" vertical="center"/>
    </xf>
    <xf numFmtId="168" fontId="1" fillId="0" borderId="4" xfId="1" applyNumberFormat="1" applyFont="1" applyFill="1" applyBorder="1" applyAlignment="1">
      <alignment horizontal="center"/>
    </xf>
    <xf numFmtId="168" fontId="23" fillId="0" borderId="0" xfId="0" applyNumberFormat="1" applyFont="1"/>
    <xf numFmtId="0" fontId="23" fillId="0" borderId="0" xfId="0" applyFont="1" applyAlignment="1">
      <alignment horizontal="center"/>
    </xf>
    <xf numFmtId="168" fontId="2" fillId="17" borderId="3" xfId="0" applyNumberFormat="1" applyFont="1" applyFill="1" applyBorder="1" applyAlignment="1">
      <alignment horizontal="center"/>
    </xf>
    <xf numFmtId="9" fontId="25" fillId="0" borderId="0" xfId="0" applyNumberFormat="1" applyFont="1" applyAlignment="1">
      <alignment horizontal="center" vertical="center"/>
    </xf>
    <xf numFmtId="168" fontId="7" fillId="0" borderId="4" xfId="1" applyNumberFormat="1" applyFont="1" applyBorder="1" applyAlignment="1">
      <alignment horizontal="center"/>
    </xf>
    <xf numFmtId="168" fontId="7" fillId="0" borderId="30" xfId="0" applyNumberFormat="1" applyFont="1" applyBorder="1" applyAlignment="1">
      <alignment horizontal="center"/>
    </xf>
    <xf numFmtId="0" fontId="23" fillId="0" borderId="1" xfId="0" quotePrefix="1" applyFont="1" applyBorder="1" applyAlignment="1">
      <alignment horizontal="left" indent="1"/>
    </xf>
    <xf numFmtId="168" fontId="7" fillId="0" borderId="4" xfId="1" applyNumberFormat="1" applyFont="1" applyFill="1" applyBorder="1" applyAlignment="1">
      <alignment horizontal="center"/>
    </xf>
    <xf numFmtId="0" fontId="7" fillId="17" borderId="1" xfId="0" applyFont="1" applyFill="1" applyBorder="1" applyAlignment="1">
      <alignment horizontal="left"/>
    </xf>
    <xf numFmtId="0" fontId="7" fillId="17" borderId="1" xfId="0" applyFont="1" applyFill="1" applyBorder="1" applyAlignment="1">
      <alignment horizontal="center"/>
    </xf>
    <xf numFmtId="168" fontId="7" fillId="17" borderId="1" xfId="1" applyNumberFormat="1" applyFont="1" applyFill="1" applyBorder="1" applyAlignment="1">
      <alignment horizontal="center"/>
    </xf>
    <xf numFmtId="0" fontId="7" fillId="17" borderId="1" xfId="0" applyFont="1" applyFill="1" applyBorder="1"/>
    <xf numFmtId="168" fontId="7" fillId="0" borderId="4" xfId="0" applyNumberFormat="1" applyFont="1" applyBorder="1"/>
    <xf numFmtId="168" fontId="7" fillId="0" borderId="2" xfId="0" applyNumberFormat="1" applyFont="1" applyBorder="1" applyAlignment="1">
      <alignment horizontal="center"/>
    </xf>
    <xf numFmtId="168" fontId="37" fillId="0" borderId="6" xfId="1" applyNumberFormat="1" applyFont="1" applyFill="1" applyBorder="1" applyAlignment="1">
      <alignment horizontal="center"/>
    </xf>
    <xf numFmtId="168" fontId="37" fillId="0" borderId="1" xfId="1" applyNumberFormat="1" applyFont="1" applyFill="1" applyBorder="1" applyAlignment="1">
      <alignment horizontal="center"/>
    </xf>
    <xf numFmtId="168" fontId="37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9" fontId="37" fillId="0" borderId="0" xfId="3" applyFont="1" applyFill="1" applyBorder="1" applyAlignment="1">
      <alignment horizontal="center" vertical="center"/>
    </xf>
    <xf numFmtId="9" fontId="37" fillId="0" borderId="6" xfId="0" applyNumberFormat="1" applyFont="1" applyBorder="1"/>
    <xf numFmtId="9" fontId="37" fillId="0" borderId="1" xfId="0" applyNumberFormat="1" applyFont="1" applyBorder="1"/>
    <xf numFmtId="9" fontId="37" fillId="0" borderId="0" xfId="0" applyNumberFormat="1" applyFont="1"/>
    <xf numFmtId="9" fontId="37" fillId="0" borderId="0" xfId="0" applyNumberFormat="1" applyFont="1" applyAlignment="1">
      <alignment horizontal="center" vertical="center"/>
    </xf>
    <xf numFmtId="0" fontId="7" fillId="17" borderId="1" xfId="0" applyFont="1" applyFill="1" applyBorder="1" applyAlignment="1">
      <alignment horizontal="left" wrapText="1"/>
    </xf>
    <xf numFmtId="168" fontId="7" fillId="17" borderId="1" xfId="0" applyNumberFormat="1" applyFont="1" applyFill="1" applyBorder="1" applyAlignment="1">
      <alignment horizontal="center"/>
    </xf>
    <xf numFmtId="168" fontId="7" fillId="17" borderId="30" xfId="0" applyNumberFormat="1" applyFont="1" applyFill="1" applyBorder="1" applyAlignment="1">
      <alignment horizontal="center"/>
    </xf>
    <xf numFmtId="168" fontId="37" fillId="17" borderId="1" xfId="1" applyNumberFormat="1" applyFont="1" applyFill="1" applyBorder="1" applyAlignment="1">
      <alignment horizontal="center"/>
    </xf>
    <xf numFmtId="0" fontId="7" fillId="17" borderId="0" xfId="0" applyFont="1" applyFill="1" applyAlignment="1">
      <alignment horizontal="center" vertical="center"/>
    </xf>
    <xf numFmtId="168" fontId="7" fillId="17" borderId="0" xfId="0" applyNumberFormat="1" applyFont="1" applyFill="1"/>
    <xf numFmtId="0" fontId="10" fillId="0" borderId="0" xfId="0" applyFont="1"/>
    <xf numFmtId="0" fontId="23" fillId="0" borderId="2" xfId="0" applyFont="1" applyBorder="1"/>
    <xf numFmtId="168" fontId="38" fillId="5" borderId="6" xfId="1" applyNumberFormat="1" applyFont="1" applyFill="1" applyBorder="1" applyAlignment="1">
      <alignment horizontal="center"/>
    </xf>
    <xf numFmtId="168" fontId="38" fillId="5" borderId="1" xfId="1" applyNumberFormat="1" applyFont="1" applyFill="1" applyBorder="1" applyAlignment="1">
      <alignment horizontal="center"/>
    </xf>
    <xf numFmtId="168" fontId="38" fillId="0" borderId="0" xfId="1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left" wrapText="1" indent="1"/>
    </xf>
    <xf numFmtId="0" fontId="23" fillId="0" borderId="30" xfId="0" applyFont="1" applyBorder="1"/>
    <xf numFmtId="9" fontId="23" fillId="0" borderId="0" xfId="0" applyNumberFormat="1" applyFont="1" applyAlignment="1">
      <alignment horizontal="center" vertical="center"/>
    </xf>
    <xf numFmtId="0" fontId="23" fillId="0" borderId="1" xfId="0" applyFont="1" applyBorder="1" applyAlignment="1">
      <alignment horizontal="left" wrapText="1" indent="2"/>
    </xf>
    <xf numFmtId="9" fontId="24" fillId="0" borderId="0" xfId="0" applyNumberFormat="1" applyFon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68" fontId="38" fillId="17" borderId="1" xfId="1" applyNumberFormat="1" applyFont="1" applyFill="1" applyBorder="1" applyAlignment="1">
      <alignment horizontal="center"/>
    </xf>
    <xf numFmtId="167" fontId="2" fillId="17" borderId="0" xfId="0" applyNumberFormat="1" applyFont="1" applyFill="1"/>
    <xf numFmtId="168" fontId="2" fillId="12" borderId="2" xfId="0" applyNumberFormat="1" applyFont="1" applyFill="1" applyBorder="1" applyAlignment="1">
      <alignment horizontal="center"/>
    </xf>
    <xf numFmtId="0" fontId="2" fillId="12" borderId="0" xfId="0" applyFont="1" applyFill="1" applyAlignment="1">
      <alignment horizontal="center" vertical="center"/>
    </xf>
    <xf numFmtId="168" fontId="2" fillId="12" borderId="0" xfId="0" applyNumberFormat="1" applyFont="1" applyFill="1" applyAlignment="1">
      <alignment horizontal="center" vertical="center"/>
    </xf>
    <xf numFmtId="168" fontId="2" fillId="12" borderId="0" xfId="0" applyNumberFormat="1" applyFont="1" applyFill="1"/>
    <xf numFmtId="168" fontId="27" fillId="0" borderId="6" xfId="1" applyNumberFormat="1" applyFont="1" applyFill="1" applyBorder="1" applyAlignment="1">
      <alignment horizontal="center"/>
    </xf>
    <xf numFmtId="168" fontId="27" fillId="0" borderId="0" xfId="1" applyNumberFormat="1" applyFont="1" applyFill="1" applyBorder="1" applyAlignment="1">
      <alignment horizontal="center"/>
    </xf>
    <xf numFmtId="168" fontId="0" fillId="0" borderId="4" xfId="1" applyNumberFormat="1" applyFont="1" applyBorder="1" applyAlignment="1"/>
    <xf numFmtId="9" fontId="25" fillId="0" borderId="25" xfId="3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2" fillId="0" borderId="31" xfId="1" applyNumberFormat="1" applyFont="1" applyBorder="1" applyAlignment="1">
      <alignment vertical="top"/>
    </xf>
    <xf numFmtId="0" fontId="10" fillId="0" borderId="1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168" fontId="10" fillId="0" borderId="1" xfId="1" applyNumberFormat="1" applyFont="1" applyBorder="1" applyAlignment="1">
      <alignment horizontal="center"/>
    </xf>
    <xf numFmtId="168" fontId="10" fillId="0" borderId="4" xfId="1" applyNumberFormat="1" applyFont="1" applyBorder="1" applyAlignment="1">
      <alignment horizontal="center"/>
    </xf>
    <xf numFmtId="0" fontId="10" fillId="0" borderId="3" xfId="0" applyFont="1" applyBorder="1"/>
    <xf numFmtId="168" fontId="39" fillId="0" borderId="6" xfId="1" applyNumberFormat="1" applyFont="1" applyFill="1" applyBorder="1" applyAlignment="1">
      <alignment horizontal="center"/>
    </xf>
    <xf numFmtId="168" fontId="39" fillId="0" borderId="1" xfId="1" applyNumberFormat="1" applyFont="1" applyFill="1" applyBorder="1" applyAlignment="1">
      <alignment horizontal="center"/>
    </xf>
    <xf numFmtId="168" fontId="39" fillId="0" borderId="0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8" fontId="2" fillId="12" borderId="30" xfId="0" applyNumberFormat="1" applyFont="1" applyFill="1" applyBorder="1" applyAlignment="1">
      <alignment horizontal="center"/>
    </xf>
    <xf numFmtId="167" fontId="2" fillId="0" borderId="0" xfId="1" applyNumberFormat="1" applyFont="1"/>
    <xf numFmtId="167" fontId="0" fillId="0" borderId="0" xfId="1" applyNumberFormat="1" applyFont="1" applyFill="1"/>
    <xf numFmtId="167" fontId="2" fillId="0" borderId="0" xfId="1" applyNumberFormat="1" applyFont="1" applyFill="1"/>
    <xf numFmtId="168" fontId="7" fillId="12" borderId="3" xfId="0" applyNumberFormat="1" applyFont="1" applyFill="1" applyBorder="1" applyAlignment="1">
      <alignment horizontal="center"/>
    </xf>
    <xf numFmtId="168" fontId="38" fillId="12" borderId="1" xfId="1" applyNumberFormat="1" applyFont="1" applyFill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168" fontId="7" fillId="12" borderId="0" xfId="0" applyNumberFormat="1" applyFont="1" applyFill="1"/>
    <xf numFmtId="167" fontId="2" fillId="12" borderId="0" xfId="1" applyNumberFormat="1" applyFont="1" applyFill="1"/>
    <xf numFmtId="168" fontId="25" fillId="0" borderId="0" xfId="0" applyNumberFormat="1" applyFont="1"/>
    <xf numFmtId="9" fontId="25" fillId="0" borderId="0" xfId="0" applyNumberFormat="1" applyFont="1" applyAlignment="1">
      <alignment horizontal="center"/>
    </xf>
    <xf numFmtId="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7" fontId="2" fillId="12" borderId="0" xfId="0" applyNumberFormat="1" applyFont="1" applyFill="1"/>
    <xf numFmtId="0" fontId="0" fillId="0" borderId="31" xfId="0" applyBorder="1"/>
    <xf numFmtId="9" fontId="22" fillId="0" borderId="0" xfId="0" applyNumberFormat="1" applyFont="1" applyAlignment="1">
      <alignment horizontal="center"/>
    </xf>
    <xf numFmtId="168" fontId="0" fillId="0" borderId="33" xfId="0" applyNumberFormat="1" applyBorder="1"/>
    <xf numFmtId="9" fontId="22" fillId="0" borderId="0" xfId="0" applyNumberFormat="1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168" fontId="23" fillId="0" borderId="1" xfId="1" applyNumberFormat="1" applyFont="1" applyBorder="1" applyAlignment="1">
      <alignment horizontal="center" vertical="center"/>
    </xf>
    <xf numFmtId="0" fontId="23" fillId="0" borderId="33" xfId="0" applyFont="1" applyBorder="1"/>
    <xf numFmtId="9" fontId="24" fillId="0" borderId="0" xfId="0" applyNumberFormat="1" applyFont="1" applyAlignment="1">
      <alignment vertical="center"/>
    </xf>
    <xf numFmtId="167" fontId="23" fillId="0" borderId="0" xfId="1" applyNumberFormat="1" applyFont="1"/>
    <xf numFmtId="9" fontId="24" fillId="0" borderId="3" xfId="0" applyNumberFormat="1" applyFont="1" applyBorder="1" applyAlignment="1">
      <alignment vertical="center"/>
    </xf>
    <xf numFmtId="9" fontId="24" fillId="0" borderId="3" xfId="0" applyNumberFormat="1" applyFont="1" applyBorder="1" applyAlignment="1">
      <alignment horizontal="center" vertical="center"/>
    </xf>
    <xf numFmtId="0" fontId="7" fillId="19" borderId="1" xfId="0" applyFont="1" applyFill="1" applyBorder="1" applyAlignment="1">
      <alignment horizontal="left" wrapText="1" indent="1"/>
    </xf>
    <xf numFmtId="0" fontId="7" fillId="19" borderId="3" xfId="0" applyFont="1" applyFill="1" applyBorder="1" applyAlignment="1">
      <alignment vertical="center"/>
    </xf>
    <xf numFmtId="168" fontId="7" fillId="19" borderId="3" xfId="1" applyNumberFormat="1" applyFont="1" applyFill="1" applyBorder="1" applyAlignment="1">
      <alignment vertical="center"/>
    </xf>
    <xf numFmtId="168" fontId="7" fillId="19" borderId="3" xfId="0" applyNumberFormat="1" applyFont="1" applyFill="1" applyBorder="1" applyAlignment="1">
      <alignment vertical="top"/>
    </xf>
    <xf numFmtId="168" fontId="7" fillId="19" borderId="34" xfId="0" applyNumberFormat="1" applyFont="1" applyFill="1" applyBorder="1"/>
    <xf numFmtId="9" fontId="38" fillId="19" borderId="3" xfId="3" applyFont="1" applyFill="1" applyBorder="1" applyAlignment="1">
      <alignment vertical="center"/>
    </xf>
    <xf numFmtId="9" fontId="38" fillId="0" borderId="0" xfId="3" applyFont="1" applyFill="1" applyBorder="1" applyAlignment="1">
      <alignment vertical="center"/>
    </xf>
    <xf numFmtId="0" fontId="7" fillId="19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 vertical="center"/>
    </xf>
    <xf numFmtId="167" fontId="7" fillId="19" borderId="0" xfId="0" applyNumberFormat="1" applyFont="1" applyFill="1"/>
    <xf numFmtId="168" fontId="7" fillId="19" borderId="0" xfId="0" applyNumberFormat="1" applyFont="1" applyFill="1"/>
    <xf numFmtId="168" fontId="1" fillId="0" borderId="1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167" fontId="8" fillId="0" borderId="0" xfId="1" applyNumberFormat="1" applyFont="1" applyFill="1" applyAlignment="1">
      <alignment vertical="center" wrapText="1"/>
    </xf>
    <xf numFmtId="9" fontId="22" fillId="0" borderId="25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167" fontId="23" fillId="0" borderId="0" xfId="1" applyNumberFormat="1" applyFont="1" applyFill="1" applyAlignment="1">
      <alignment horizontal="left" vertical="center" wrapText="1"/>
    </xf>
    <xf numFmtId="167" fontId="8" fillId="0" borderId="0" xfId="1" applyNumberFormat="1" applyFont="1" applyFill="1" applyAlignment="1">
      <alignment horizontal="left" vertical="center" wrapText="1"/>
    </xf>
    <xf numFmtId="168" fontId="12" fillId="13" borderId="3" xfId="0" applyNumberFormat="1" applyFont="1" applyFill="1" applyBorder="1"/>
    <xf numFmtId="168" fontId="30" fillId="0" borderId="0" xfId="0" applyNumberFormat="1" applyFont="1"/>
    <xf numFmtId="168" fontId="0" fillId="6" borderId="0" xfId="0" applyNumberFormat="1" applyFill="1"/>
    <xf numFmtId="0" fontId="0" fillId="17" borderId="0" xfId="0" applyFill="1"/>
    <xf numFmtId="0" fontId="0" fillId="19" borderId="0" xfId="0" applyFill="1"/>
    <xf numFmtId="167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7" fillId="5" borderId="46" xfId="0" applyFont="1" applyFill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167" fontId="2" fillId="0" borderId="56" xfId="1" applyNumberFormat="1" applyFont="1" applyBorder="1"/>
    <xf numFmtId="167" fontId="21" fillId="0" borderId="57" xfId="1" applyNumberFormat="1" applyFont="1" applyBorder="1"/>
    <xf numFmtId="167" fontId="2" fillId="0" borderId="57" xfId="1" applyNumberFormat="1" applyFont="1" applyBorder="1"/>
    <xf numFmtId="167" fontId="2" fillId="5" borderId="59" xfId="0" applyNumberFormat="1" applyFont="1" applyFill="1" applyBorder="1"/>
    <xf numFmtId="0" fontId="7" fillId="5" borderId="52" xfId="0" applyFont="1" applyFill="1" applyBorder="1" applyAlignment="1">
      <alignment horizontal="center" vertical="center"/>
    </xf>
    <xf numFmtId="167" fontId="2" fillId="0" borderId="60" xfId="1" applyNumberFormat="1" applyFont="1" applyBorder="1"/>
    <xf numFmtId="167" fontId="21" fillId="0" borderId="61" xfId="1" applyNumberFormat="1" applyFont="1" applyBorder="1"/>
    <xf numFmtId="167" fontId="2" fillId="0" borderId="61" xfId="1" applyNumberFormat="1" applyFont="1" applyBorder="1"/>
    <xf numFmtId="167" fontId="2" fillId="5" borderId="67" xfId="0" applyNumberFormat="1" applyFont="1" applyFill="1" applyBorder="1"/>
    <xf numFmtId="167" fontId="2" fillId="5" borderId="68" xfId="0" applyNumberFormat="1" applyFont="1" applyFill="1" applyBorder="1"/>
    <xf numFmtId="0" fontId="7" fillId="5" borderId="47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1" fillId="0" borderId="15" xfId="0" applyFont="1" applyBorder="1" applyAlignment="1">
      <alignment horizontal="left" indent="1"/>
    </xf>
    <xf numFmtId="0" fontId="2" fillId="0" borderId="15" xfId="0" applyFont="1" applyBorder="1"/>
    <xf numFmtId="0" fontId="2" fillId="5" borderId="26" xfId="0" applyFont="1" applyFill="1" applyBorder="1"/>
    <xf numFmtId="167" fontId="2" fillId="5" borderId="36" xfId="0" applyNumberFormat="1" applyFont="1" applyFill="1" applyBorder="1"/>
    <xf numFmtId="10" fontId="0" fillId="0" borderId="46" xfId="3" applyNumberFormat="1" applyFont="1" applyBorder="1"/>
    <xf numFmtId="10" fontId="0" fillId="0" borderId="28" xfId="3" applyNumberFormat="1" applyFont="1" applyBorder="1"/>
    <xf numFmtId="0" fontId="7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left" indent="2"/>
    </xf>
    <xf numFmtId="168" fontId="8" fillId="0" borderId="1" xfId="1" applyNumberFormat="1" applyFont="1" applyFill="1" applyBorder="1" applyAlignment="1">
      <alignment horizontal="center"/>
    </xf>
    <xf numFmtId="9" fontId="29" fillId="0" borderId="0" xfId="0" applyNumberFormat="1" applyFont="1" applyAlignment="1">
      <alignment horizontal="center" vertical="center"/>
    </xf>
    <xf numFmtId="9" fontId="40" fillId="0" borderId="0" xfId="3" applyFont="1" applyFill="1" applyBorder="1" applyAlignment="1">
      <alignment horizontal="center" vertical="center"/>
    </xf>
    <xf numFmtId="168" fontId="8" fillId="0" borderId="0" xfId="0" applyNumberFormat="1" applyFont="1"/>
    <xf numFmtId="168" fontId="10" fillId="0" borderId="4" xfId="1" applyNumberFormat="1" applyFont="1" applyFill="1" applyBorder="1" applyAlignment="1">
      <alignment horizontal="center"/>
    </xf>
    <xf numFmtId="168" fontId="10" fillId="0" borderId="30" xfId="0" applyNumberFormat="1" applyFont="1" applyBorder="1" applyAlignment="1">
      <alignment horizontal="center"/>
    </xf>
    <xf numFmtId="168" fontId="40" fillId="6" borderId="6" xfId="1" applyNumberFormat="1" applyFont="1" applyFill="1" applyBorder="1" applyAlignment="1">
      <alignment horizontal="center"/>
    </xf>
    <xf numFmtId="168" fontId="40" fillId="6" borderId="1" xfId="1" applyNumberFormat="1" applyFont="1" applyFill="1" applyBorder="1" applyAlignment="1">
      <alignment horizontal="center"/>
    </xf>
    <xf numFmtId="168" fontId="40" fillId="0" borderId="0" xfId="1" applyNumberFormat="1" applyFont="1" applyFill="1" applyBorder="1" applyAlignment="1">
      <alignment horizontal="center"/>
    </xf>
    <xf numFmtId="9" fontId="8" fillId="0" borderId="0" xfId="3" applyFont="1" applyFill="1" applyAlignment="1">
      <alignment horizontal="center" vertical="center"/>
    </xf>
    <xf numFmtId="168" fontId="8" fillId="0" borderId="4" xfId="1" applyNumberFormat="1" applyFont="1" applyFill="1" applyBorder="1" applyAlignment="1">
      <alignment horizontal="center"/>
    </xf>
    <xf numFmtId="9" fontId="29" fillId="0" borderId="0" xfId="3" applyFont="1" applyFill="1" applyBorder="1" applyAlignment="1">
      <alignment horizontal="center" vertical="center"/>
    </xf>
    <xf numFmtId="168" fontId="40" fillId="0" borderId="6" xfId="1" applyNumberFormat="1" applyFont="1" applyFill="1" applyBorder="1" applyAlignment="1">
      <alignment horizontal="center"/>
    </xf>
    <xf numFmtId="168" fontId="40" fillId="0" borderId="1" xfId="1" applyNumberFormat="1" applyFont="1" applyFill="1" applyBorder="1" applyAlignment="1">
      <alignment horizontal="center"/>
    </xf>
    <xf numFmtId="166" fontId="8" fillId="0" borderId="0" xfId="1" applyFont="1"/>
    <xf numFmtId="9" fontId="4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 wrapText="1" indent="2"/>
    </xf>
    <xf numFmtId="168" fontId="10" fillId="0" borderId="3" xfId="0" applyNumberFormat="1" applyFont="1" applyBorder="1" applyAlignment="1">
      <alignment horizontal="center"/>
    </xf>
    <xf numFmtId="0" fontId="41" fillId="0" borderId="1" xfId="0" applyFont="1" applyBorder="1" applyAlignment="1">
      <alignment horizontal="left" indent="1"/>
    </xf>
    <xf numFmtId="0" fontId="41" fillId="0" borderId="1" xfId="0" applyFont="1" applyBorder="1" applyAlignment="1">
      <alignment horizontal="center"/>
    </xf>
    <xf numFmtId="168" fontId="41" fillId="0" borderId="1" xfId="1" applyNumberFormat="1" applyFont="1" applyBorder="1" applyAlignment="1">
      <alignment horizontal="center"/>
    </xf>
    <xf numFmtId="9" fontId="42" fillId="0" borderId="0" xfId="3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67" fontId="41" fillId="0" borderId="0" xfId="1" applyNumberFormat="1" applyFont="1"/>
    <xf numFmtId="0" fontId="41" fillId="0" borderId="0" xfId="0" applyFont="1"/>
    <xf numFmtId="0" fontId="41" fillId="0" borderId="0" xfId="0" applyFont="1" applyAlignment="1">
      <alignment horizontal="center"/>
    </xf>
    <xf numFmtId="0" fontId="7" fillId="0" borderId="3" xfId="0" applyFont="1" applyBorder="1"/>
    <xf numFmtId="168" fontId="43" fillId="0" borderId="6" xfId="1" applyNumberFormat="1" applyFont="1" applyFill="1" applyBorder="1" applyAlignment="1">
      <alignment horizontal="center"/>
    </xf>
    <xf numFmtId="168" fontId="43" fillId="0" borderId="1" xfId="1" applyNumberFormat="1" applyFont="1" applyFill="1" applyBorder="1" applyAlignment="1">
      <alignment horizontal="center"/>
    </xf>
    <xf numFmtId="168" fontId="43" fillId="0" borderId="0" xfId="1" applyNumberFormat="1" applyFont="1" applyFill="1" applyBorder="1" applyAlignment="1">
      <alignment horizontal="center"/>
    </xf>
    <xf numFmtId="167" fontId="7" fillId="0" borderId="0" xfId="1" applyNumberFormat="1" applyFont="1"/>
    <xf numFmtId="168" fontId="10" fillId="0" borderId="1" xfId="1" applyNumberFormat="1" applyFont="1" applyFill="1" applyBorder="1" applyAlignment="1">
      <alignment horizontal="center"/>
    </xf>
    <xf numFmtId="9" fontId="40" fillId="0" borderId="25" xfId="3" applyFont="1" applyBorder="1" applyAlignment="1">
      <alignment horizontal="center" vertical="center"/>
    </xf>
    <xf numFmtId="9" fontId="40" fillId="0" borderId="3" xfId="3" applyFont="1" applyBorder="1" applyAlignment="1">
      <alignment horizontal="center" vertical="center"/>
    </xf>
    <xf numFmtId="167" fontId="8" fillId="0" borderId="0" xfId="1" applyNumberFormat="1" applyFont="1" applyFill="1"/>
    <xf numFmtId="167" fontId="10" fillId="0" borderId="0" xfId="1" applyNumberFormat="1" applyFont="1" applyFill="1"/>
    <xf numFmtId="168" fontId="8" fillId="18" borderId="1" xfId="1" applyNumberFormat="1" applyFont="1" applyFill="1" applyBorder="1" applyAlignment="1">
      <alignment horizontal="center"/>
    </xf>
    <xf numFmtId="168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wrapText="1" indent="1"/>
    </xf>
    <xf numFmtId="0" fontId="8" fillId="0" borderId="1" xfId="0" applyFont="1" applyBorder="1" applyAlignment="1">
      <alignment horizontal="center" vertical="center"/>
    </xf>
    <xf numFmtId="168" fontId="8" fillId="0" borderId="1" xfId="1" applyNumberFormat="1" applyFont="1" applyBorder="1" applyAlignment="1">
      <alignment horizontal="center" vertical="center"/>
    </xf>
    <xf numFmtId="0" fontId="8" fillId="0" borderId="33" xfId="0" applyFont="1" applyBorder="1"/>
    <xf numFmtId="9" fontId="29" fillId="0" borderId="2" xfId="0" applyNumberFormat="1" applyFont="1" applyBorder="1" applyAlignment="1">
      <alignment vertical="center"/>
    </xf>
    <xf numFmtId="9" fontId="29" fillId="0" borderId="0" xfId="0" applyNumberFormat="1" applyFont="1" applyAlignment="1">
      <alignment vertical="center"/>
    </xf>
    <xf numFmtId="9" fontId="29" fillId="0" borderId="30" xfId="0" applyNumberFormat="1" applyFont="1" applyBorder="1" applyAlignment="1">
      <alignment vertical="center"/>
    </xf>
    <xf numFmtId="168" fontId="8" fillId="0" borderId="1" xfId="1" applyNumberFormat="1" applyFont="1" applyFill="1" applyBorder="1" applyAlignment="1">
      <alignment horizontal="center" vertical="center"/>
    </xf>
    <xf numFmtId="168" fontId="8" fillId="0" borderId="4" xfId="0" applyNumberFormat="1" applyFont="1" applyBorder="1" applyAlignment="1">
      <alignment horizontal="center"/>
    </xf>
    <xf numFmtId="9" fontId="29" fillId="0" borderId="25" xfId="0" applyNumberFormat="1" applyFont="1" applyBorder="1" applyAlignment="1">
      <alignment vertical="center"/>
    </xf>
    <xf numFmtId="9" fontId="29" fillId="0" borderId="3" xfId="0" applyNumberFormat="1" applyFont="1" applyBorder="1" applyAlignment="1">
      <alignment vertical="center"/>
    </xf>
    <xf numFmtId="9" fontId="29" fillId="0" borderId="34" xfId="0" applyNumberFormat="1" applyFont="1" applyBorder="1" applyAlignment="1">
      <alignment vertical="center"/>
    </xf>
    <xf numFmtId="168" fontId="8" fillId="0" borderId="4" xfId="0" applyNumberFormat="1" applyFont="1" applyBorder="1"/>
    <xf numFmtId="0" fontId="8" fillId="0" borderId="2" xfId="0" applyFont="1" applyBorder="1"/>
    <xf numFmtId="9" fontId="29" fillId="0" borderId="6" xfId="0" applyNumberFormat="1" applyFont="1" applyBorder="1" applyAlignment="1">
      <alignment horizontal="center"/>
    </xf>
    <xf numFmtId="9" fontId="29" fillId="0" borderId="1" xfId="0" applyNumberFormat="1" applyFont="1" applyBorder="1" applyAlignment="1">
      <alignment horizontal="center"/>
    </xf>
    <xf numFmtId="9" fontId="29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7" fontId="3" fillId="0" borderId="2" xfId="1" applyNumberFormat="1" applyFont="1" applyFill="1" applyBorder="1" applyAlignment="1">
      <alignment horizontal="center" vertical="center"/>
    </xf>
    <xf numFmtId="167" fontId="3" fillId="0" borderId="3" xfId="1" applyNumberFormat="1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/>
    </xf>
    <xf numFmtId="0" fontId="2" fillId="5" borderId="53" xfId="0" applyFont="1" applyFill="1" applyBorder="1" applyAlignment="1">
      <alignment horizontal="center"/>
    </xf>
    <xf numFmtId="0" fontId="2" fillId="5" borderId="54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2" borderId="39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2" borderId="4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168" fontId="2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2" fillId="13" borderId="1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12" fillId="13" borderId="1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9" fontId="24" fillId="0" borderId="6" xfId="3" applyFont="1" applyBorder="1" applyAlignment="1">
      <alignment horizontal="center" vertical="center"/>
    </xf>
    <xf numFmtId="9" fontId="24" fillId="0" borderId="1" xfId="3" applyFont="1" applyBorder="1" applyAlignment="1">
      <alignment horizontal="center" vertical="center"/>
    </xf>
    <xf numFmtId="9" fontId="24" fillId="0" borderId="31" xfId="3" applyFont="1" applyBorder="1" applyAlignment="1">
      <alignment horizontal="center" vertical="center"/>
    </xf>
    <xf numFmtId="9" fontId="24" fillId="0" borderId="33" xfId="3" applyFont="1" applyBorder="1" applyAlignment="1">
      <alignment horizontal="center" vertical="center"/>
    </xf>
    <xf numFmtId="9" fontId="24" fillId="0" borderId="45" xfId="3" applyFont="1" applyBorder="1" applyAlignment="1">
      <alignment horizontal="center" vertical="center"/>
    </xf>
    <xf numFmtId="9" fontId="22" fillId="0" borderId="2" xfId="3" applyFont="1" applyBorder="1" applyAlignment="1">
      <alignment horizontal="center" vertical="center"/>
    </xf>
    <xf numFmtId="9" fontId="22" fillId="0" borderId="30" xfId="3" applyFont="1" applyBorder="1" applyAlignment="1">
      <alignment horizontal="center" vertical="center"/>
    </xf>
    <xf numFmtId="9" fontId="22" fillId="0" borderId="3" xfId="3" applyFont="1" applyBorder="1" applyAlignment="1">
      <alignment horizontal="center" vertical="center"/>
    </xf>
    <xf numFmtId="9" fontId="22" fillId="0" borderId="32" xfId="3" applyFont="1" applyBorder="1" applyAlignment="1">
      <alignment horizontal="center" vertical="center"/>
    </xf>
    <xf numFmtId="9" fontId="22" fillId="0" borderId="34" xfId="3" applyFont="1" applyBorder="1" applyAlignment="1">
      <alignment horizontal="center" vertical="center"/>
    </xf>
    <xf numFmtId="9" fontId="22" fillId="0" borderId="25" xfId="3" applyFont="1" applyBorder="1" applyAlignment="1">
      <alignment horizontal="center" vertical="center"/>
    </xf>
    <xf numFmtId="168" fontId="0" fillId="0" borderId="31" xfId="1" applyNumberFormat="1" applyFont="1" applyBorder="1" applyAlignment="1">
      <alignment horizontal="center"/>
    </xf>
    <xf numFmtId="168" fontId="0" fillId="0" borderId="33" xfId="1" applyNumberFormat="1" applyFont="1" applyBorder="1" applyAlignment="1">
      <alignment horizontal="center"/>
    </xf>
    <xf numFmtId="168" fontId="0" fillId="0" borderId="45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22" fillId="0" borderId="32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9" fontId="22" fillId="0" borderId="2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9" fontId="22" fillId="0" borderId="31" xfId="3" applyFont="1" applyBorder="1" applyAlignment="1">
      <alignment horizontal="center" vertical="center"/>
    </xf>
    <xf numFmtId="9" fontId="22" fillId="0" borderId="45" xfId="3" applyFont="1" applyBorder="1" applyAlignment="1">
      <alignment horizontal="center" vertical="center"/>
    </xf>
    <xf numFmtId="168" fontId="2" fillId="0" borderId="2" xfId="1" applyNumberFormat="1" applyFont="1" applyBorder="1" applyAlignment="1">
      <alignment horizontal="left" vertical="top"/>
    </xf>
    <xf numFmtId="168" fontId="2" fillId="0" borderId="3" xfId="1" applyNumberFormat="1" applyFont="1" applyBorder="1" applyAlignment="1">
      <alignment horizontal="left" vertical="top"/>
    </xf>
    <xf numFmtId="168" fontId="0" fillId="0" borderId="2" xfId="1" applyNumberFormat="1" applyFont="1" applyBorder="1" applyAlignment="1">
      <alignment horizontal="center" vertical="top"/>
    </xf>
    <xf numFmtId="168" fontId="0" fillId="0" borderId="3" xfId="1" applyNumberFormat="1" applyFont="1" applyBorder="1" applyAlignment="1">
      <alignment horizontal="center" vertical="top"/>
    </xf>
    <xf numFmtId="168" fontId="2" fillId="0" borderId="31" xfId="1" applyNumberFormat="1" applyFont="1" applyBorder="1" applyAlignment="1">
      <alignment horizontal="center" vertical="top"/>
    </xf>
    <xf numFmtId="168" fontId="2" fillId="0" borderId="45" xfId="1" applyNumberFormat="1" applyFont="1" applyBorder="1" applyAlignment="1">
      <alignment horizontal="center" vertical="top"/>
    </xf>
    <xf numFmtId="168" fontId="0" fillId="0" borderId="30" xfId="1" applyNumberFormat="1" applyFont="1" applyBorder="1" applyAlignment="1">
      <alignment horizontal="center"/>
    </xf>
    <xf numFmtId="9" fontId="20" fillId="0" borderId="30" xfId="3" applyFont="1" applyFill="1" applyBorder="1" applyAlignment="1">
      <alignment horizontal="center" vertical="center"/>
    </xf>
    <xf numFmtId="9" fontId="25" fillId="0" borderId="32" xfId="3" applyFont="1" applyFill="1" applyBorder="1" applyAlignment="1">
      <alignment horizontal="center" vertical="center"/>
    </xf>
    <xf numFmtId="9" fontId="25" fillId="0" borderId="34" xfId="3" applyFont="1" applyFill="1" applyBorder="1" applyAlignment="1">
      <alignment horizontal="center" vertical="center"/>
    </xf>
    <xf numFmtId="9" fontId="25" fillId="0" borderId="25" xfId="3" applyFont="1" applyFill="1" applyBorder="1" applyAlignment="1">
      <alignment horizontal="center" vertical="center"/>
    </xf>
    <xf numFmtId="9" fontId="25" fillId="0" borderId="2" xfId="3" applyFont="1" applyFill="1" applyBorder="1" applyAlignment="1">
      <alignment horizontal="center" vertical="center"/>
    </xf>
    <xf numFmtId="9" fontId="25" fillId="0" borderId="30" xfId="3" applyFont="1" applyFill="1" applyBorder="1" applyAlignment="1">
      <alignment horizontal="center" vertical="center"/>
    </xf>
    <xf numFmtId="9" fontId="25" fillId="0" borderId="3" xfId="3" applyFont="1" applyFill="1" applyBorder="1" applyAlignment="1">
      <alignment horizontal="center" vertical="center"/>
    </xf>
    <xf numFmtId="9" fontId="22" fillId="0" borderId="30" xfId="0" applyNumberFormat="1" applyFont="1" applyBorder="1" applyAlignment="1">
      <alignment horizontal="center" vertical="center"/>
    </xf>
    <xf numFmtId="9" fontId="22" fillId="0" borderId="3" xfId="0" applyNumberFormat="1" applyFont="1" applyBorder="1" applyAlignment="1">
      <alignment horizontal="center" vertical="center"/>
    </xf>
    <xf numFmtId="9" fontId="22" fillId="0" borderId="34" xfId="0" applyNumberFormat="1" applyFont="1" applyBorder="1" applyAlignment="1">
      <alignment horizontal="center" vertical="center"/>
    </xf>
    <xf numFmtId="9" fontId="22" fillId="0" borderId="25" xfId="0" applyNumberFormat="1" applyFont="1" applyBorder="1" applyAlignment="1">
      <alignment horizontal="center" vertical="center"/>
    </xf>
    <xf numFmtId="9" fontId="20" fillId="0" borderId="2" xfId="3" applyFont="1" applyFill="1" applyBorder="1" applyAlignment="1">
      <alignment horizontal="center" vertical="center"/>
    </xf>
    <xf numFmtId="9" fontId="20" fillId="0" borderId="3" xfId="3" applyFont="1" applyFill="1" applyBorder="1" applyAlignment="1">
      <alignment horizontal="center" vertical="center"/>
    </xf>
    <xf numFmtId="9" fontId="22" fillId="0" borderId="2" xfId="3" applyFont="1" applyFill="1" applyBorder="1" applyAlignment="1">
      <alignment horizontal="center" vertical="center"/>
    </xf>
    <xf numFmtId="9" fontId="22" fillId="0" borderId="3" xfId="3" applyFont="1" applyFill="1" applyBorder="1" applyAlignment="1">
      <alignment horizontal="center" vertical="center"/>
    </xf>
    <xf numFmtId="168" fontId="7" fillId="0" borderId="30" xfId="0" applyNumberFormat="1" applyFont="1" applyBorder="1" applyAlignment="1">
      <alignment horizontal="center"/>
    </xf>
    <xf numFmtId="9" fontId="25" fillId="0" borderId="32" xfId="0" applyNumberFormat="1" applyFont="1" applyBorder="1" applyAlignment="1">
      <alignment horizontal="center" vertical="center"/>
    </xf>
    <xf numFmtId="9" fontId="25" fillId="0" borderId="34" xfId="0" applyNumberFormat="1" applyFont="1" applyBorder="1" applyAlignment="1">
      <alignment horizontal="center" vertical="center"/>
    </xf>
    <xf numFmtId="9" fontId="25" fillId="0" borderId="25" xfId="0" applyNumberFormat="1" applyFont="1" applyBorder="1" applyAlignment="1">
      <alignment horizontal="center" vertical="center"/>
    </xf>
    <xf numFmtId="9" fontId="25" fillId="0" borderId="2" xfId="0" applyNumberFormat="1" applyFont="1" applyBorder="1" applyAlignment="1">
      <alignment horizontal="center" vertical="center"/>
    </xf>
    <xf numFmtId="9" fontId="25" fillId="0" borderId="30" xfId="0" applyNumberFormat="1" applyFont="1" applyBorder="1" applyAlignment="1">
      <alignment horizontal="center" vertical="center"/>
    </xf>
    <xf numFmtId="9" fontId="25" fillId="0" borderId="3" xfId="0" applyNumberFormat="1" applyFont="1" applyBorder="1" applyAlignment="1">
      <alignment horizontal="center" vertical="center"/>
    </xf>
    <xf numFmtId="9" fontId="29" fillId="0" borderId="30" xfId="0" applyNumberFormat="1" applyFont="1" applyBorder="1" applyAlignment="1">
      <alignment horizontal="center" vertical="center"/>
    </xf>
    <xf numFmtId="9" fontId="29" fillId="0" borderId="3" xfId="0" applyNumberFormat="1" applyFont="1" applyBorder="1" applyAlignment="1">
      <alignment horizontal="center" vertical="center"/>
    </xf>
    <xf numFmtId="9" fontId="29" fillId="0" borderId="32" xfId="0" applyNumberFormat="1" applyFont="1" applyBorder="1" applyAlignment="1">
      <alignment horizontal="center" vertical="center"/>
    </xf>
    <xf numFmtId="9" fontId="29" fillId="0" borderId="34" xfId="0" applyNumberFormat="1" applyFont="1" applyBorder="1" applyAlignment="1">
      <alignment horizontal="center" vertical="center"/>
    </xf>
    <xf numFmtId="9" fontId="29" fillId="0" borderId="25" xfId="0" applyNumberFormat="1" applyFont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9" fontId="22" fillId="0" borderId="2" xfId="3" applyFont="1" applyFill="1" applyBorder="1" applyAlignment="1">
      <alignment horizontal="center"/>
    </xf>
    <xf numFmtId="9" fontId="22" fillId="0" borderId="3" xfId="3" applyFont="1" applyFill="1" applyBorder="1" applyAlignment="1">
      <alignment horizontal="center"/>
    </xf>
    <xf numFmtId="9" fontId="24" fillId="0" borderId="30" xfId="3" applyFont="1" applyFill="1" applyBorder="1" applyAlignment="1">
      <alignment horizontal="center" vertical="center"/>
    </xf>
    <xf numFmtId="9" fontId="37" fillId="0" borderId="32" xfId="3" applyFont="1" applyFill="1" applyBorder="1" applyAlignment="1">
      <alignment horizontal="center" vertical="center"/>
    </xf>
    <xf numFmtId="9" fontId="37" fillId="0" borderId="34" xfId="3" applyFont="1" applyFill="1" applyBorder="1" applyAlignment="1">
      <alignment horizontal="center" vertical="center"/>
    </xf>
    <xf numFmtId="9" fontId="37" fillId="0" borderId="25" xfId="3" applyFont="1" applyFill="1" applyBorder="1" applyAlignment="1">
      <alignment horizontal="center" vertical="center"/>
    </xf>
    <xf numFmtId="9" fontId="37" fillId="0" borderId="2" xfId="3" applyFont="1" applyFill="1" applyBorder="1" applyAlignment="1">
      <alignment horizontal="center" vertical="center"/>
    </xf>
    <xf numFmtId="9" fontId="37" fillId="0" borderId="30" xfId="3" applyFont="1" applyFill="1" applyBorder="1" applyAlignment="1">
      <alignment horizontal="center" vertical="center"/>
    </xf>
    <xf numFmtId="9" fontId="37" fillId="0" borderId="3" xfId="3" applyFont="1" applyFill="1" applyBorder="1" applyAlignment="1">
      <alignment horizontal="center" vertical="center"/>
    </xf>
    <xf numFmtId="168" fontId="7" fillId="0" borderId="3" xfId="0" applyNumberFormat="1" applyFont="1" applyBorder="1" applyAlignment="1">
      <alignment horizontal="center"/>
    </xf>
    <xf numFmtId="9" fontId="37" fillId="0" borderId="32" xfId="0" applyNumberFormat="1" applyFont="1" applyBorder="1" applyAlignment="1">
      <alignment horizontal="center" vertical="center"/>
    </xf>
    <xf numFmtId="9" fontId="37" fillId="0" borderId="34" xfId="0" applyNumberFormat="1" applyFont="1" applyBorder="1" applyAlignment="1">
      <alignment horizontal="center" vertical="center"/>
    </xf>
    <xf numFmtId="9" fontId="37" fillId="0" borderId="25" xfId="0" applyNumberFormat="1" applyFont="1" applyBorder="1" applyAlignment="1">
      <alignment horizontal="center" vertical="center"/>
    </xf>
    <xf numFmtId="9" fontId="37" fillId="0" borderId="2" xfId="0" applyNumberFormat="1" applyFont="1" applyBorder="1" applyAlignment="1">
      <alignment horizontal="center" vertical="center"/>
    </xf>
    <xf numFmtId="9" fontId="37" fillId="0" borderId="30" xfId="0" applyNumberFormat="1" applyFont="1" applyBorder="1" applyAlignment="1">
      <alignment horizontal="center" vertical="center"/>
    </xf>
    <xf numFmtId="9" fontId="37" fillId="0" borderId="3" xfId="0" applyNumberFormat="1" applyFont="1" applyBorder="1" applyAlignment="1">
      <alignment horizontal="center" vertical="center"/>
    </xf>
    <xf numFmtId="0" fontId="23" fillId="0" borderId="30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9" fontId="24" fillId="0" borderId="32" xfId="0" applyNumberFormat="1" applyFont="1" applyBorder="1" applyAlignment="1">
      <alignment horizontal="center" vertical="center"/>
    </xf>
    <xf numFmtId="9" fontId="24" fillId="0" borderId="34" xfId="0" applyNumberFormat="1" applyFont="1" applyBorder="1" applyAlignment="1">
      <alignment horizontal="center" vertical="center"/>
    </xf>
    <xf numFmtId="9" fontId="24" fillId="0" borderId="25" xfId="0" applyNumberFormat="1" applyFont="1" applyBorder="1" applyAlignment="1">
      <alignment horizontal="center" vertical="center"/>
    </xf>
    <xf numFmtId="168" fontId="38" fillId="0" borderId="2" xfId="1" applyNumberFormat="1" applyFont="1" applyFill="1" applyBorder="1" applyAlignment="1">
      <alignment horizontal="center"/>
    </xf>
    <xf numFmtId="168" fontId="38" fillId="0" borderId="30" xfId="1" applyNumberFormat="1" applyFont="1" applyFill="1" applyBorder="1" applyAlignment="1">
      <alignment horizontal="center"/>
    </xf>
    <xf numFmtId="168" fontId="38" fillId="0" borderId="3" xfId="1" applyNumberFormat="1" applyFont="1" applyFill="1" applyBorder="1" applyAlignment="1">
      <alignment horizontal="center"/>
    </xf>
    <xf numFmtId="9" fontId="24" fillId="0" borderId="2" xfId="0" applyNumberFormat="1" applyFont="1" applyBorder="1" applyAlignment="1">
      <alignment horizontal="center" vertical="center"/>
    </xf>
    <xf numFmtId="9" fontId="24" fillId="0" borderId="30" xfId="0" applyNumberFormat="1" applyFont="1" applyBorder="1" applyAlignment="1">
      <alignment horizontal="center" vertical="center"/>
    </xf>
    <xf numFmtId="9" fontId="24" fillId="0" borderId="3" xfId="0" applyNumberFormat="1" applyFont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9" fontId="42" fillId="0" borderId="2" xfId="3" applyFont="1" applyFill="1" applyBorder="1" applyAlignment="1">
      <alignment horizontal="center" vertical="center"/>
    </xf>
    <xf numFmtId="9" fontId="42" fillId="0" borderId="3" xfId="3" applyFont="1" applyFill="1" applyBorder="1" applyAlignment="1">
      <alignment horizontal="center" vertical="center"/>
    </xf>
    <xf numFmtId="9" fontId="25" fillId="0" borderId="32" xfId="3" applyFont="1" applyBorder="1" applyAlignment="1">
      <alignment horizontal="center" vertical="center"/>
    </xf>
    <xf numFmtId="9" fontId="25" fillId="0" borderId="25" xfId="3" applyFont="1" applyBorder="1" applyAlignment="1">
      <alignment horizontal="center" vertical="center"/>
    </xf>
    <xf numFmtId="9" fontId="25" fillId="0" borderId="2" xfId="3" applyFont="1" applyBorder="1" applyAlignment="1">
      <alignment horizontal="center" vertical="center"/>
    </xf>
    <xf numFmtId="9" fontId="25" fillId="0" borderId="3" xfId="3" applyFont="1" applyBorder="1" applyAlignment="1">
      <alignment horizontal="center" vertical="center"/>
    </xf>
    <xf numFmtId="9" fontId="25" fillId="0" borderId="34" xfId="3" applyFont="1" applyBorder="1" applyAlignment="1">
      <alignment horizontal="center" vertical="center"/>
    </xf>
    <xf numFmtId="9" fontId="25" fillId="0" borderId="30" xfId="3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8" fontId="1" fillId="0" borderId="1" xfId="1" applyNumberFormat="1" applyFont="1" applyFill="1" applyBorder="1" applyAlignment="1">
      <alignment horizontal="center" vertical="top"/>
    </xf>
    <xf numFmtId="9" fontId="21" fillId="0" borderId="2" xfId="0" applyNumberFormat="1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left"/>
    </xf>
    <xf numFmtId="0" fontId="33" fillId="2" borderId="2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</cellXfs>
  <cellStyles count="6">
    <cellStyle name="Bad" xfId="5" builtinId="27"/>
    <cellStyle name="Comma" xfId="1" builtinId="3"/>
    <cellStyle name="Comma [0]" xfId="2" builtinId="6"/>
    <cellStyle name="Currency" xfId="4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IA/Downloads/Cuadro%20de%20costos%20Revisi&#243;n%20RM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ELECTROMECANICO"/>
      <sheetName val="VALVULAS TANQUES"/>
      <sheetName val="RESERVORIO Y DESINFECC"/>
    </sheetNames>
    <sheetDataSet>
      <sheetData sheetId="0"/>
      <sheetData sheetId="1"/>
      <sheetData sheetId="2"/>
      <sheetData sheetId="3">
        <row r="7">
          <cell r="D7">
            <v>4655000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50A5-5DE6-4CFF-B3ED-24AD4D5F11E2}">
  <sheetPr>
    <pageSetUpPr fitToPage="1"/>
  </sheetPr>
  <dimension ref="A1:F20"/>
  <sheetViews>
    <sheetView zoomScaleNormal="100" workbookViewId="0">
      <selection activeCell="G10" sqref="G10"/>
    </sheetView>
  </sheetViews>
  <sheetFormatPr defaultColWidth="11.5703125" defaultRowHeight="15"/>
  <cols>
    <col min="1" max="1" width="5.140625" customWidth="1"/>
    <col min="2" max="2" width="61.7109375" customWidth="1"/>
    <col min="3" max="3" width="16.28515625" bestFit="1" customWidth="1"/>
    <col min="4" max="4" width="7" style="171" bestFit="1" customWidth="1"/>
  </cols>
  <sheetData>
    <row r="1" spans="1:6">
      <c r="A1" s="536" t="s">
        <v>0</v>
      </c>
      <c r="B1" s="536"/>
      <c r="C1" s="536"/>
      <c r="D1" s="536"/>
      <c r="E1" s="5"/>
      <c r="F1" s="5"/>
    </row>
    <row r="2" spans="1:6">
      <c r="A2" s="536" t="s">
        <v>1</v>
      </c>
      <c r="B2" s="536"/>
      <c r="C2" s="536"/>
      <c r="D2" s="536"/>
      <c r="E2" s="5"/>
      <c r="F2" s="5"/>
    </row>
    <row r="3" spans="1:6">
      <c r="A3" s="536" t="s">
        <v>2</v>
      </c>
      <c r="B3" s="536"/>
      <c r="C3" s="536"/>
      <c r="D3" s="536"/>
      <c r="E3" s="5"/>
      <c r="F3" s="5"/>
    </row>
    <row r="4" spans="1:6">
      <c r="C4" s="20"/>
    </row>
    <row r="5" spans="1:6" s="5" customFormat="1" ht="30">
      <c r="B5" s="16" t="s">
        <v>3</v>
      </c>
      <c r="C5" s="479" t="s">
        <v>4</v>
      </c>
      <c r="D5" s="17" t="s">
        <v>5</v>
      </c>
    </row>
    <row r="6" spans="1:6" s="5" customFormat="1">
      <c r="B6" s="21" t="str">
        <f>+'Componente 1'!B6:C6</f>
        <v>Componente 1 - Reducción de los niveles de agua no contabilizada</v>
      </c>
      <c r="C6" s="23">
        <f>+C7+C8</f>
        <v>33800352</v>
      </c>
      <c r="D6" s="191">
        <f>+C6/C14</f>
        <v>0.33800352123612715</v>
      </c>
    </row>
    <row r="7" spans="1:6" s="139" customFormat="1">
      <c r="B7" s="138" t="s">
        <v>6</v>
      </c>
      <c r="C7" s="145">
        <f>+'RESUMEN Desembolso'!C6</f>
        <v>25300352</v>
      </c>
      <c r="D7" s="189"/>
    </row>
    <row r="8" spans="1:6" s="139" customFormat="1">
      <c r="B8" s="138" t="s">
        <v>7</v>
      </c>
      <c r="C8" s="145">
        <f>+'RESUMEN Desembolso'!C7</f>
        <v>8500000</v>
      </c>
      <c r="D8" s="189"/>
    </row>
    <row r="9" spans="1:6" s="5" customFormat="1">
      <c r="B9" s="21" t="str">
        <f>+'Componente 2'!B7:C7</f>
        <v xml:space="preserve">Componente 2 - Mejora de la eficiencia energética </v>
      </c>
      <c r="C9" s="23">
        <f>SUM(C10:C11)</f>
        <v>53549413.634285718</v>
      </c>
      <c r="D9" s="191">
        <f>+C9/C14</f>
        <v>0.53549413830123571</v>
      </c>
    </row>
    <row r="10" spans="1:6" s="139" customFormat="1">
      <c r="B10" s="138" t="s">
        <v>6</v>
      </c>
      <c r="C10" s="145">
        <f>+'RESUMEN Desembolso'!C9</f>
        <v>17439583.634285714</v>
      </c>
      <c r="D10" s="189"/>
    </row>
    <row r="11" spans="1:6" s="139" customFormat="1">
      <c r="B11" s="138" t="s">
        <v>7</v>
      </c>
      <c r="C11" s="145">
        <f>+'RESUMEN Desembolso'!C10</f>
        <v>36109830</v>
      </c>
      <c r="D11" s="189"/>
    </row>
    <row r="12" spans="1:6" s="5" customFormat="1">
      <c r="B12" s="21" t="str">
        <f>+'Componente 3'!B7:C7</f>
        <v>Componente 3 - Mejora de la Gestión</v>
      </c>
      <c r="C12" s="23">
        <f>+'Componente 3'!E7</f>
        <v>9150234</v>
      </c>
      <c r="D12" s="191">
        <f>+C12/C14</f>
        <v>9.1502340334637125E-2</v>
      </c>
    </row>
    <row r="13" spans="1:6" s="5" customFormat="1">
      <c r="B13" s="21" t="s">
        <v>8</v>
      </c>
      <c r="C13" s="23">
        <f>+'RESUMEN Desembolso'!C12</f>
        <v>3500000</v>
      </c>
      <c r="D13" s="191">
        <f>+C13/C14</f>
        <v>3.5000000127999996E-2</v>
      </c>
    </row>
    <row r="14" spans="1:6">
      <c r="B14" s="15" t="s">
        <v>9</v>
      </c>
      <c r="C14" s="224">
        <f>+C6+C9+C12+C13</f>
        <v>99999999.634285718</v>
      </c>
      <c r="D14" s="190">
        <f>SUM(D6:D13)</f>
        <v>1</v>
      </c>
    </row>
    <row r="15" spans="1:6">
      <c r="C15" s="146"/>
    </row>
    <row r="16" spans="1:6">
      <c r="C16" s="22"/>
    </row>
    <row r="18" spans="3:4">
      <c r="C18" s="170"/>
      <c r="D18" s="172"/>
    </row>
    <row r="20" spans="3:4">
      <c r="C20" s="192"/>
    </row>
  </sheetData>
  <mergeCells count="3">
    <mergeCell ref="A1:D1"/>
    <mergeCell ref="A2:D2"/>
    <mergeCell ref="A3:D3"/>
  </mergeCells>
  <pageMargins left="0.70866141732283472" right="0.70866141732283472" top="0.74803149606299213" bottom="0.74803149606299213" header="0.31496062992125984" footer="0.31496062992125984"/>
  <pageSetup paperSize="9" scale="9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CAA5-E795-415E-BD5D-FFCB0271C1AC}">
  <sheetPr>
    <pageSetUpPr fitToPage="1"/>
  </sheetPr>
  <dimension ref="A1:I17"/>
  <sheetViews>
    <sheetView workbookViewId="0">
      <selection activeCell="G17" sqref="G17"/>
    </sheetView>
  </sheetViews>
  <sheetFormatPr defaultColWidth="11.5703125" defaultRowHeight="15"/>
  <cols>
    <col min="1" max="1" width="5.140625" customWidth="1"/>
    <col min="2" max="2" width="61.7109375" customWidth="1"/>
    <col min="3" max="3" width="16.42578125" bestFit="1" customWidth="1"/>
    <col min="4" max="4" width="11.7109375" bestFit="1" customWidth="1"/>
    <col min="5" max="5" width="12.140625" bestFit="1" customWidth="1"/>
    <col min="6" max="8" width="11.5703125" bestFit="1" customWidth="1"/>
    <col min="9" max="9" width="12.5703125" bestFit="1" customWidth="1"/>
  </cols>
  <sheetData>
    <row r="1" spans="1:9">
      <c r="A1" s="536" t="s">
        <v>10</v>
      </c>
      <c r="B1" s="536"/>
      <c r="C1" s="536"/>
      <c r="D1" s="5"/>
    </row>
    <row r="2" spans="1:9">
      <c r="A2" s="536" t="s">
        <v>1</v>
      </c>
      <c r="B2" s="536"/>
      <c r="C2" s="536"/>
      <c r="D2" s="5"/>
    </row>
    <row r="3" spans="1:9" ht="15.75" thickBot="1">
      <c r="A3" s="536" t="s">
        <v>2</v>
      </c>
      <c r="B3" s="536"/>
      <c r="C3" s="536"/>
      <c r="D3" s="5"/>
    </row>
    <row r="4" spans="1:9" s="164" customFormat="1" ht="30.75" thickBot="1">
      <c r="B4" s="458" t="s">
        <v>3</v>
      </c>
      <c r="C4" s="471" t="s">
        <v>11</v>
      </c>
      <c r="D4" s="460" t="s">
        <v>12</v>
      </c>
      <c r="E4" s="459" t="s">
        <v>13</v>
      </c>
      <c r="F4" s="465" t="s">
        <v>14</v>
      </c>
      <c r="G4" s="460" t="s">
        <v>15</v>
      </c>
      <c r="H4" s="458" t="s">
        <v>16</v>
      </c>
      <c r="I4" s="460" t="s">
        <v>17</v>
      </c>
    </row>
    <row r="5" spans="1:9" s="5" customFormat="1">
      <c r="B5" s="472" t="str">
        <f>+'Componente 1'!B6:C6</f>
        <v>Componente 1 - Reducción de los niveles de agua no contabilizada</v>
      </c>
      <c r="C5" s="222">
        <f>+C6+C7</f>
        <v>33800352</v>
      </c>
      <c r="D5" s="461">
        <f t="shared" ref="D5:H5" si="0">+D6+D7</f>
        <v>3243778</v>
      </c>
      <c r="E5" s="223">
        <f t="shared" si="0"/>
        <v>4355603.4000000004</v>
      </c>
      <c r="F5" s="466">
        <f t="shared" si="0"/>
        <v>11681415.6</v>
      </c>
      <c r="G5" s="461">
        <f t="shared" si="0"/>
        <v>11119555</v>
      </c>
      <c r="H5" s="221">
        <f t="shared" si="0"/>
        <v>3400000</v>
      </c>
      <c r="I5" s="461">
        <f t="shared" ref="I5:I12" si="1">+H5+G5+F5+E5+D5</f>
        <v>33800352</v>
      </c>
    </row>
    <row r="6" spans="1:9" s="139" customFormat="1" ht="12.75">
      <c r="B6" s="473" t="s">
        <v>6</v>
      </c>
      <c r="C6" s="220">
        <f>+'Componente 1'!F7</f>
        <v>25300352</v>
      </c>
      <c r="D6" s="462">
        <f>+'Componente 1'!G7</f>
        <v>3243778</v>
      </c>
      <c r="E6" s="216">
        <f>+'Componente 1'!H7</f>
        <v>4355603.4000000004</v>
      </c>
      <c r="F6" s="467">
        <f>+'Componente 1'!I7</f>
        <v>9981415.5999999996</v>
      </c>
      <c r="G6" s="462">
        <f>+'Componente 1'!J7</f>
        <v>7719555</v>
      </c>
      <c r="H6" s="219">
        <f>+'Componente 1'!K7</f>
        <v>0</v>
      </c>
      <c r="I6" s="462">
        <f t="shared" si="1"/>
        <v>25300352</v>
      </c>
    </row>
    <row r="7" spans="1:9" s="139" customFormat="1" ht="12.75">
      <c r="B7" s="473" t="s">
        <v>7</v>
      </c>
      <c r="C7" s="220">
        <f>+'Componente 1'!F17</f>
        <v>8500000</v>
      </c>
      <c r="D7" s="462">
        <f>+'Componente 1'!G17</f>
        <v>0</v>
      </c>
      <c r="E7" s="216">
        <f>+'Componente 1'!H17</f>
        <v>0</v>
      </c>
      <c r="F7" s="467">
        <f>+'Componente 1'!I17</f>
        <v>1700000</v>
      </c>
      <c r="G7" s="462">
        <f>+'Componente 1'!J17</f>
        <v>3400000</v>
      </c>
      <c r="H7" s="219">
        <f>+'Componente 1'!K17</f>
        <v>3400000</v>
      </c>
      <c r="I7" s="462">
        <f t="shared" si="1"/>
        <v>8500000</v>
      </c>
    </row>
    <row r="8" spans="1:9" s="5" customFormat="1">
      <c r="B8" s="474" t="str">
        <f>+'Componente 2'!B7:C7</f>
        <v xml:space="preserve">Componente 2 - Mejora de la eficiencia energética </v>
      </c>
      <c r="C8" s="218">
        <f>SUM(C9:C10)</f>
        <v>53549413.634285718</v>
      </c>
      <c r="D8" s="463">
        <f t="shared" ref="D8:H8" si="2">SUM(D9:D10)</f>
        <v>4414070.7340799998</v>
      </c>
      <c r="E8" s="215">
        <f t="shared" si="2"/>
        <v>13025512.900205715</v>
      </c>
      <c r="F8" s="468">
        <f t="shared" si="2"/>
        <v>5534154</v>
      </c>
      <c r="G8" s="463">
        <f t="shared" si="2"/>
        <v>14800693</v>
      </c>
      <c r="H8" s="217">
        <f t="shared" si="2"/>
        <v>15774983</v>
      </c>
      <c r="I8" s="463">
        <f t="shared" si="1"/>
        <v>53549413.634285718</v>
      </c>
    </row>
    <row r="9" spans="1:9" s="139" customFormat="1" ht="12.75">
      <c r="B9" s="473" t="s">
        <v>6</v>
      </c>
      <c r="C9" s="220">
        <f>+'Componente 2'!F8</f>
        <v>17439583.634285714</v>
      </c>
      <c r="D9" s="462">
        <f>+'Componente 2'!G8</f>
        <v>4414070.7340799998</v>
      </c>
      <c r="E9" s="216">
        <f>+'Componente 2'!H8</f>
        <v>13025512.900205715</v>
      </c>
      <c r="F9" s="467">
        <f>+'Componente 2'!I8</f>
        <v>0</v>
      </c>
      <c r="G9" s="462">
        <f>+'Componente 2'!J8</f>
        <v>0</v>
      </c>
      <c r="H9" s="219">
        <f>+'Componente 2'!K8</f>
        <v>0</v>
      </c>
      <c r="I9" s="462">
        <f t="shared" si="1"/>
        <v>17439583.634285714</v>
      </c>
    </row>
    <row r="10" spans="1:9" s="139" customFormat="1" ht="12.75">
      <c r="B10" s="473" t="s">
        <v>7</v>
      </c>
      <c r="C10" s="220">
        <f>+'Componente 2'!F29</f>
        <v>36109830</v>
      </c>
      <c r="D10" s="462">
        <f>+'Componente 2'!G29</f>
        <v>0</v>
      </c>
      <c r="E10" s="216">
        <f>+'Componente 2'!H29</f>
        <v>0</v>
      </c>
      <c r="F10" s="467">
        <f>+'Componente 2'!I29</f>
        <v>5534154</v>
      </c>
      <c r="G10" s="462">
        <f>+'Componente 2'!J29</f>
        <v>14800693</v>
      </c>
      <c r="H10" s="219">
        <f>+'Componente 2'!K29</f>
        <v>15774983</v>
      </c>
      <c r="I10" s="462">
        <f t="shared" si="1"/>
        <v>36109830</v>
      </c>
    </row>
    <row r="11" spans="1:9" s="5" customFormat="1">
      <c r="B11" s="474" t="str">
        <f>+'Componente 3'!B7:C7</f>
        <v>Componente 3 - Mejora de la Gestión</v>
      </c>
      <c r="C11" s="218">
        <f>+'Componente 3'!E7</f>
        <v>9150234</v>
      </c>
      <c r="D11" s="463">
        <f>+'Componente 3'!F7</f>
        <v>1790046.8</v>
      </c>
      <c r="E11" s="215">
        <f>+'Componente 3'!G7</f>
        <v>1297570.2</v>
      </c>
      <c r="F11" s="468">
        <f>+'Componente 3'!H7</f>
        <v>2322617</v>
      </c>
      <c r="G11" s="463">
        <f>+'Componente 3'!I7</f>
        <v>3050000</v>
      </c>
      <c r="H11" s="217">
        <f>+'Componente 3'!J7</f>
        <v>690000</v>
      </c>
      <c r="I11" s="463">
        <f t="shared" si="1"/>
        <v>9150234</v>
      </c>
    </row>
    <row r="12" spans="1:9" s="5" customFormat="1">
      <c r="B12" s="474" t="s">
        <v>8</v>
      </c>
      <c r="C12" s="218">
        <f>+Administración!D38</f>
        <v>3500000</v>
      </c>
      <c r="D12" s="463">
        <f>870000</f>
        <v>870000</v>
      </c>
      <c r="E12" s="215">
        <f>580000</f>
        <v>580000</v>
      </c>
      <c r="F12" s="468">
        <f>680000</f>
        <v>680000</v>
      </c>
      <c r="G12" s="463">
        <v>550000</v>
      </c>
      <c r="H12" s="217">
        <v>820000</v>
      </c>
      <c r="I12" s="463">
        <f t="shared" si="1"/>
        <v>3500000</v>
      </c>
    </row>
    <row r="13" spans="1:9" ht="15.75" thickBot="1">
      <c r="B13" s="475" t="s">
        <v>9</v>
      </c>
      <c r="C13" s="476">
        <f t="shared" ref="C13:I13" si="3">+C5+C8+C11+C12</f>
        <v>99999999.634285718</v>
      </c>
      <c r="D13" s="464">
        <f t="shared" si="3"/>
        <v>10317895.534080001</v>
      </c>
      <c r="E13" s="227">
        <f t="shared" si="3"/>
        <v>19258686.500205714</v>
      </c>
      <c r="F13" s="469">
        <f t="shared" si="3"/>
        <v>20218186.600000001</v>
      </c>
      <c r="G13" s="464">
        <f t="shared" si="3"/>
        <v>29520248</v>
      </c>
      <c r="H13" s="226">
        <f t="shared" si="3"/>
        <v>20684983</v>
      </c>
      <c r="I13" s="470">
        <f t="shared" si="3"/>
        <v>99999999.634285718</v>
      </c>
    </row>
    <row r="14" spans="1:9" ht="15.75" thickBot="1">
      <c r="C14" s="146">
        <v>100000000</v>
      </c>
      <c r="D14" s="477">
        <f t="shared" ref="D14:I14" si="4">+D13/$C$13</f>
        <v>0.10317895571814019</v>
      </c>
      <c r="E14" s="477">
        <f t="shared" si="4"/>
        <v>0.19258686570637482</v>
      </c>
      <c r="F14" s="477">
        <f t="shared" si="4"/>
        <v>0.20218186673940797</v>
      </c>
      <c r="G14" s="477">
        <f t="shared" si="4"/>
        <v>0.29520248107959762</v>
      </c>
      <c r="H14" s="477">
        <f t="shared" si="4"/>
        <v>0.20684983075647936</v>
      </c>
      <c r="I14" s="478">
        <f t="shared" si="4"/>
        <v>1</v>
      </c>
    </row>
    <row r="15" spans="1:9">
      <c r="H15" s="225"/>
    </row>
    <row r="16" spans="1:9">
      <c r="C16" s="170" t="s">
        <v>6</v>
      </c>
      <c r="D16" s="225">
        <f>+C6+C9</f>
        <v>42739935.634285718</v>
      </c>
      <c r="H16" s="225"/>
    </row>
    <row r="17" spans="3:3">
      <c r="C17" s="192"/>
    </row>
  </sheetData>
  <mergeCells count="3">
    <mergeCell ref="A1:C1"/>
    <mergeCell ref="A2:C2"/>
    <mergeCell ref="A3:C3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AEA2-B06B-4539-A4CE-4A0ECDEC1165}">
  <sheetPr>
    <pageSetUpPr fitToPage="1"/>
  </sheetPr>
  <dimension ref="A1:K22"/>
  <sheetViews>
    <sheetView tabSelected="1" topLeftCell="B1" zoomScale="90" zoomScaleNormal="90" workbookViewId="0">
      <selection activeCell="B18" sqref="B18"/>
    </sheetView>
  </sheetViews>
  <sheetFormatPr defaultColWidth="11.5703125" defaultRowHeight="15"/>
  <cols>
    <col min="1" max="1" width="9.140625" hidden="1" customWidth="1"/>
    <col min="2" max="2" width="67.85546875" customWidth="1"/>
    <col min="3" max="3" width="12.85546875" customWidth="1"/>
    <col min="4" max="4" width="11.5703125" customWidth="1"/>
    <col min="5" max="5" width="15" customWidth="1"/>
    <col min="6" max="6" width="13.42578125" customWidth="1"/>
    <col min="7" max="7" width="12.42578125" bestFit="1" customWidth="1"/>
    <col min="8" max="8" width="13.85546875" bestFit="1" customWidth="1"/>
    <col min="9" max="9" width="12.85546875" bestFit="1" customWidth="1"/>
    <col min="10" max="10" width="13.140625" bestFit="1" customWidth="1"/>
    <col min="11" max="11" width="12.42578125" bestFit="1" customWidth="1"/>
  </cols>
  <sheetData>
    <row r="1" spans="1:11">
      <c r="A1" s="536" t="s">
        <v>18</v>
      </c>
      <c r="B1" s="536"/>
      <c r="C1" s="536"/>
      <c r="D1" s="536"/>
      <c r="E1" s="536"/>
      <c r="F1" s="536"/>
    </row>
    <row r="2" spans="1:11">
      <c r="A2" s="536" t="s">
        <v>1</v>
      </c>
      <c r="B2" s="536"/>
      <c r="C2" s="536"/>
      <c r="D2" s="536"/>
      <c r="E2" s="536"/>
      <c r="F2" s="536"/>
    </row>
    <row r="3" spans="1:11" ht="15.75" thickBot="1">
      <c r="A3" s="536" t="s">
        <v>2</v>
      </c>
      <c r="B3" s="536"/>
      <c r="C3" s="536"/>
      <c r="D3" s="536"/>
      <c r="E3" s="536"/>
      <c r="F3" s="536"/>
    </row>
    <row r="4" spans="1:11" ht="15.75" thickBot="1">
      <c r="F4" s="20"/>
      <c r="G4" s="539" t="s">
        <v>19</v>
      </c>
      <c r="H4" s="540"/>
      <c r="I4" s="540"/>
      <c r="J4" s="540"/>
      <c r="K4" s="541"/>
    </row>
    <row r="5" spans="1:11" s="164" customFormat="1" ht="27" customHeight="1">
      <c r="A5" s="248"/>
      <c r="B5" s="247" t="s">
        <v>3</v>
      </c>
      <c r="C5" s="242" t="s">
        <v>20</v>
      </c>
      <c r="D5" s="242" t="s">
        <v>21</v>
      </c>
      <c r="E5" s="242" t="s">
        <v>22</v>
      </c>
      <c r="F5" s="280" t="s">
        <v>23</v>
      </c>
      <c r="G5" s="251" t="s">
        <v>24</v>
      </c>
      <c r="H5" s="250" t="s">
        <v>25</v>
      </c>
      <c r="I5" s="249" t="s">
        <v>26</v>
      </c>
      <c r="J5" s="274" t="s">
        <v>27</v>
      </c>
      <c r="K5" s="268" t="s">
        <v>28</v>
      </c>
    </row>
    <row r="6" spans="1:11">
      <c r="A6" s="1">
        <v>1</v>
      </c>
      <c r="B6" s="542" t="s">
        <v>29</v>
      </c>
      <c r="C6" s="543"/>
      <c r="D6" s="241"/>
      <c r="E6" s="241"/>
      <c r="F6" s="212">
        <f>+F7+F17</f>
        <v>33800352</v>
      </c>
      <c r="G6" s="252">
        <f t="shared" ref="G6:K6" si="0">+G7+G17</f>
        <v>3243778</v>
      </c>
      <c r="H6" s="211">
        <f t="shared" si="0"/>
        <v>4355603.4000000004</v>
      </c>
      <c r="I6" s="261">
        <f t="shared" si="0"/>
        <v>11681415.6</v>
      </c>
      <c r="J6" s="252">
        <f t="shared" si="0"/>
        <v>11119555</v>
      </c>
      <c r="K6" s="269">
        <f t="shared" si="0"/>
        <v>3400000</v>
      </c>
    </row>
    <row r="7" spans="1:11">
      <c r="A7" s="1"/>
      <c r="B7" s="207" t="s">
        <v>30</v>
      </c>
      <c r="C7" s="6"/>
      <c r="D7" s="6"/>
      <c r="E7" s="6"/>
      <c r="F7" s="196">
        <f>+F8+F12+F14</f>
        <v>25300352</v>
      </c>
      <c r="G7" s="253">
        <f>+G8+G12+G14</f>
        <v>3243778</v>
      </c>
      <c r="H7" s="253">
        <f t="shared" ref="H7:J7" si="1">+H8+H12+H14</f>
        <v>4355603.4000000004</v>
      </c>
      <c r="I7" s="253">
        <f t="shared" si="1"/>
        <v>9981415.5999999996</v>
      </c>
      <c r="J7" s="253">
        <f t="shared" si="1"/>
        <v>7719555</v>
      </c>
      <c r="K7" s="270">
        <f t="shared" ref="K7" si="2">+K8+K12</f>
        <v>0</v>
      </c>
    </row>
    <row r="8" spans="1:11" s="195" customFormat="1" ht="29.25" customHeight="1">
      <c r="A8" s="193">
        <v>1.1000000000000001</v>
      </c>
      <c r="B8" s="208" t="s">
        <v>31</v>
      </c>
      <c r="C8" s="194"/>
      <c r="D8" s="194"/>
      <c r="E8" s="194"/>
      <c r="F8" s="197">
        <f>+F9+F10+F11</f>
        <v>12926000</v>
      </c>
      <c r="G8" s="254">
        <f t="shared" ref="G8:K8" si="3">+G9+G10+G11</f>
        <v>1641602</v>
      </c>
      <c r="H8" s="201">
        <f t="shared" si="3"/>
        <v>1880733</v>
      </c>
      <c r="I8" s="263">
        <f t="shared" si="3"/>
        <v>6269110</v>
      </c>
      <c r="J8" s="254">
        <f t="shared" si="3"/>
        <v>3134555</v>
      </c>
      <c r="K8" s="271">
        <f t="shared" si="3"/>
        <v>0</v>
      </c>
    </row>
    <row r="9" spans="1:11">
      <c r="A9" s="1" t="s">
        <v>32</v>
      </c>
      <c r="B9" s="209" t="s">
        <v>33</v>
      </c>
      <c r="C9" s="3" t="s">
        <v>34</v>
      </c>
      <c r="D9" s="3">
        <v>1</v>
      </c>
      <c r="E9" s="169">
        <f>+'Costos desglosados_C1 y C2'!F161-'Costos desglosados_C1 y C2'!J161</f>
        <v>11633400</v>
      </c>
      <c r="F9" s="198">
        <f>+E9*D9</f>
        <v>11633400</v>
      </c>
      <c r="G9" s="255">
        <f>+F9*0.1</f>
        <v>1163340</v>
      </c>
      <c r="H9" s="202">
        <f>+F9*0.15</f>
        <v>1745010</v>
      </c>
      <c r="I9" s="264">
        <f>F9*0.5</f>
        <v>5816700</v>
      </c>
      <c r="J9" s="255">
        <f>F9*0.25</f>
        <v>2908350</v>
      </c>
      <c r="K9" s="272">
        <v>0</v>
      </c>
    </row>
    <row r="10" spans="1:11" s="110" customFormat="1">
      <c r="A10" s="135" t="s">
        <v>35</v>
      </c>
      <c r="B10" s="209" t="s">
        <v>36</v>
      </c>
      <c r="C10" s="136" t="s">
        <v>34</v>
      </c>
      <c r="D10" s="136">
        <v>1</v>
      </c>
      <c r="E10" s="169">
        <f>+'Costos desglosados_C1 y C2'!J161*30%</f>
        <v>387780</v>
      </c>
      <c r="F10" s="198">
        <f>+E10</f>
        <v>387780</v>
      </c>
      <c r="G10" s="255">
        <f>+F10</f>
        <v>387780</v>
      </c>
      <c r="H10" s="202">
        <v>0</v>
      </c>
      <c r="I10" s="264">
        <v>0</v>
      </c>
      <c r="J10" s="255">
        <v>0</v>
      </c>
      <c r="K10" s="272">
        <v>0</v>
      </c>
    </row>
    <row r="11" spans="1:11" s="110" customFormat="1">
      <c r="A11" s="135" t="s">
        <v>37</v>
      </c>
      <c r="B11" s="209" t="s">
        <v>38</v>
      </c>
      <c r="C11" s="136" t="s">
        <v>34</v>
      </c>
      <c r="D11" s="136">
        <v>1</v>
      </c>
      <c r="E11" s="169">
        <f>+'Costos desglosados_C1 y C2'!J161*70%</f>
        <v>904820</v>
      </c>
      <c r="F11" s="198">
        <f>+E11</f>
        <v>904820</v>
      </c>
      <c r="G11" s="255">
        <f>+F11*0.1</f>
        <v>90482</v>
      </c>
      <c r="H11" s="202">
        <f>+F11*0.15</f>
        <v>135723</v>
      </c>
      <c r="I11" s="264">
        <f>F11*0.5</f>
        <v>452410</v>
      </c>
      <c r="J11" s="255">
        <f>F11*0.25</f>
        <v>226205</v>
      </c>
      <c r="K11" s="272">
        <v>0</v>
      </c>
    </row>
    <row r="12" spans="1:11" s="5" customFormat="1">
      <c r="A12" s="8">
        <v>1.2</v>
      </c>
      <c r="B12" s="210" t="s">
        <v>39</v>
      </c>
      <c r="C12" s="9"/>
      <c r="D12" s="9"/>
      <c r="E12" s="9"/>
      <c r="F12" s="199">
        <f>SUM(F13:F13)</f>
        <v>9170000</v>
      </c>
      <c r="G12" s="256">
        <f t="shared" ref="G12:K12" si="4">SUM(G13:G13)</f>
        <v>0</v>
      </c>
      <c r="H12" s="203">
        <f t="shared" si="4"/>
        <v>1834000</v>
      </c>
      <c r="I12" s="265">
        <f t="shared" si="4"/>
        <v>2751000</v>
      </c>
      <c r="J12" s="256">
        <f t="shared" si="4"/>
        <v>4585000</v>
      </c>
      <c r="K12" s="257">
        <f t="shared" si="4"/>
        <v>0</v>
      </c>
    </row>
    <row r="13" spans="1:11">
      <c r="A13" s="1" t="s">
        <v>40</v>
      </c>
      <c r="B13" s="209" t="s">
        <v>41</v>
      </c>
      <c r="C13" s="3" t="s">
        <v>34</v>
      </c>
      <c r="D13" s="3">
        <v>1</v>
      </c>
      <c r="E13" s="169">
        <f>+'Costos desglosados_C1 y C2'!G190</f>
        <v>9170000</v>
      </c>
      <c r="F13" s="198">
        <f>+E13*D13</f>
        <v>9170000</v>
      </c>
      <c r="G13" s="255">
        <v>0</v>
      </c>
      <c r="H13" s="202">
        <f>F13*0.2</f>
        <v>1834000</v>
      </c>
      <c r="I13" s="264">
        <f>+F13*0.3</f>
        <v>2751000</v>
      </c>
      <c r="J13" s="255">
        <f>+F13/2</f>
        <v>4585000</v>
      </c>
      <c r="K13" s="272">
        <v>0</v>
      </c>
    </row>
    <row r="14" spans="1:11" s="5" customFormat="1">
      <c r="A14" s="8">
        <v>2.6</v>
      </c>
      <c r="B14" s="210" t="s">
        <v>42</v>
      </c>
      <c r="C14" s="9"/>
      <c r="D14" s="9"/>
      <c r="E14" s="11"/>
      <c r="F14" s="199">
        <f>+F15+F16</f>
        <v>3204352</v>
      </c>
      <c r="G14" s="256">
        <f>+G15+G16</f>
        <v>1602176</v>
      </c>
      <c r="H14" s="203">
        <f>+H15+H16</f>
        <v>640870.40000000002</v>
      </c>
      <c r="I14" s="265">
        <f>+I15+I16</f>
        <v>961305.59999999998</v>
      </c>
      <c r="J14" s="256">
        <f>SUM(J16:J16)</f>
        <v>0</v>
      </c>
      <c r="K14" s="257">
        <f>SUM(K16:K16)</f>
        <v>0</v>
      </c>
    </row>
    <row r="15" spans="1:11">
      <c r="A15" s="1" t="s">
        <v>43</v>
      </c>
      <c r="B15" s="234" t="s">
        <v>44</v>
      </c>
      <c r="C15" s="3" t="s">
        <v>34</v>
      </c>
      <c r="D15" s="3">
        <v>1</v>
      </c>
      <c r="E15" s="537">
        <f>+'Costos desglosados_C1 y C2'!F202</f>
        <v>9593500</v>
      </c>
      <c r="F15" s="228">
        <v>1000000</v>
      </c>
      <c r="G15" s="275">
        <f>F15*0.5</f>
        <v>500000</v>
      </c>
      <c r="H15" s="233">
        <f>F15*0.2</f>
        <v>200000</v>
      </c>
      <c r="I15" s="266">
        <f>F15*0.3</f>
        <v>300000</v>
      </c>
      <c r="J15" s="275"/>
      <c r="K15" s="258"/>
    </row>
    <row r="16" spans="1:11">
      <c r="A16" s="1" t="s">
        <v>45</v>
      </c>
      <c r="B16" s="234" t="s">
        <v>46</v>
      </c>
      <c r="C16" s="3" t="s">
        <v>34</v>
      </c>
      <c r="D16" s="3">
        <v>1</v>
      </c>
      <c r="E16" s="538"/>
      <c r="F16" s="228">
        <v>2204352</v>
      </c>
      <c r="G16" s="275">
        <f>F16*0.5</f>
        <v>1102176</v>
      </c>
      <c r="H16" s="233">
        <f>F16*0.2</f>
        <v>440870.40000000002</v>
      </c>
      <c r="I16" s="266">
        <f>F16*0.3</f>
        <v>661305.59999999998</v>
      </c>
      <c r="J16" s="275">
        <v>0</v>
      </c>
      <c r="K16" s="258">
        <v>0</v>
      </c>
    </row>
    <row r="17" spans="1:11">
      <c r="A17" s="1"/>
      <c r="B17" s="207" t="s">
        <v>47</v>
      </c>
      <c r="C17" s="6"/>
      <c r="D17" s="6"/>
      <c r="E17" s="6"/>
      <c r="F17" s="196">
        <f>+F18</f>
        <v>8500000</v>
      </c>
      <c r="G17" s="253">
        <f t="shared" ref="G17:K17" si="5">+G18</f>
        <v>0</v>
      </c>
      <c r="H17" s="200">
        <f t="shared" si="5"/>
        <v>0</v>
      </c>
      <c r="I17" s="262">
        <f t="shared" si="5"/>
        <v>1700000</v>
      </c>
      <c r="J17" s="253">
        <f t="shared" si="5"/>
        <v>3400000</v>
      </c>
      <c r="K17" s="270">
        <f t="shared" si="5"/>
        <v>3400000</v>
      </c>
    </row>
    <row r="18" spans="1:11" s="214" customFormat="1" ht="30" customHeight="1" thickBot="1">
      <c r="A18" s="213">
        <v>1.3</v>
      </c>
      <c r="B18" s="276" t="s">
        <v>48</v>
      </c>
      <c r="C18" s="277" t="s">
        <v>34</v>
      </c>
      <c r="D18" s="278">
        <v>1</v>
      </c>
      <c r="E18" s="279">
        <v>8500000</v>
      </c>
      <c r="F18" s="281">
        <v>8500000</v>
      </c>
      <c r="G18" s="260">
        <v>0</v>
      </c>
      <c r="H18" s="259">
        <v>0</v>
      </c>
      <c r="I18" s="267">
        <f>F18*0.2</f>
        <v>1700000</v>
      </c>
      <c r="J18" s="260">
        <f>F18*0.4</f>
        <v>3400000</v>
      </c>
      <c r="K18" s="273">
        <f>F18*0.4</f>
        <v>3400000</v>
      </c>
    </row>
    <row r="20" spans="1:11">
      <c r="G20" s="225"/>
      <c r="H20" s="225"/>
      <c r="I20" s="225"/>
      <c r="J20" s="225"/>
      <c r="K20" s="225"/>
    </row>
    <row r="21" spans="1:11">
      <c r="H21" s="225"/>
    </row>
    <row r="22" spans="1:11">
      <c r="H22" s="238"/>
    </row>
  </sheetData>
  <mergeCells count="6">
    <mergeCell ref="E15:E16"/>
    <mergeCell ref="G4:K4"/>
    <mergeCell ref="B6:C6"/>
    <mergeCell ref="A1:F1"/>
    <mergeCell ref="A2:F2"/>
    <mergeCell ref="A3:F3"/>
  </mergeCells>
  <phoneticPr fontId="6" type="noConversion"/>
  <pageMargins left="0.70866141732283472" right="0.70866141732283472" top="0.74803149606299213" bottom="0.74803149606299213" header="0.31496062992125984" footer="0.31496062992125984"/>
  <pageSetup paperSize="9" fitToWidth="2" fitToHeight="2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F84C-BD19-46E7-9717-C8A7E025BE84}">
  <sheetPr>
    <pageSetUpPr fitToPage="1"/>
  </sheetPr>
  <dimension ref="A1:K36"/>
  <sheetViews>
    <sheetView topLeftCell="B13" zoomScale="96" zoomScaleNormal="96" workbookViewId="0">
      <selection activeCell="H34" sqref="H34"/>
    </sheetView>
  </sheetViews>
  <sheetFormatPr defaultColWidth="11.5703125" defaultRowHeight="15"/>
  <cols>
    <col min="1" max="1" width="8.7109375" customWidth="1"/>
    <col min="2" max="2" width="71.140625" bestFit="1" customWidth="1"/>
    <col min="3" max="3" width="11.5703125" customWidth="1"/>
    <col min="4" max="4" width="8.7109375" bestFit="1" customWidth="1"/>
    <col min="5" max="5" width="11.5703125" customWidth="1"/>
    <col min="6" max="6" width="12.7109375" bestFit="1" customWidth="1"/>
    <col min="7" max="8" width="12.28515625" bestFit="1" customWidth="1"/>
    <col min="9" max="11" width="13.42578125" bestFit="1" customWidth="1"/>
  </cols>
  <sheetData>
    <row r="1" spans="1:11">
      <c r="A1" s="536" t="s">
        <v>18</v>
      </c>
      <c r="B1" s="536"/>
      <c r="C1" s="536"/>
      <c r="D1" s="536"/>
      <c r="E1" s="536"/>
      <c r="F1" s="536"/>
    </row>
    <row r="2" spans="1:11">
      <c r="A2" s="536" t="s">
        <v>1</v>
      </c>
      <c r="B2" s="536"/>
      <c r="C2" s="536"/>
      <c r="D2" s="536"/>
      <c r="E2" s="536"/>
      <c r="F2" s="536"/>
    </row>
    <row r="3" spans="1:11" ht="15.75" thickBot="1">
      <c r="A3" s="536" t="s">
        <v>2</v>
      </c>
      <c r="B3" s="536"/>
      <c r="C3" s="536"/>
      <c r="D3" s="536"/>
      <c r="E3" s="536"/>
      <c r="F3" s="536"/>
    </row>
    <row r="4" spans="1:11" ht="15.75" thickBot="1">
      <c r="G4" s="289" t="s">
        <v>24</v>
      </c>
      <c r="H4" s="240" t="s">
        <v>25</v>
      </c>
      <c r="I4" s="289" t="s">
        <v>26</v>
      </c>
      <c r="J4" s="240" t="s">
        <v>27</v>
      </c>
      <c r="K4" s="282" t="s">
        <v>28</v>
      </c>
    </row>
    <row r="5" spans="1:11">
      <c r="A5" s="1"/>
      <c r="B5" s="544" t="s">
        <v>3</v>
      </c>
      <c r="C5" s="552" t="s">
        <v>20</v>
      </c>
      <c r="D5" s="554" t="s">
        <v>21</v>
      </c>
      <c r="E5" s="554" t="s">
        <v>22</v>
      </c>
      <c r="F5" s="552" t="s">
        <v>49</v>
      </c>
      <c r="G5" s="544" t="s">
        <v>50</v>
      </c>
      <c r="H5" s="544" t="s">
        <v>50</v>
      </c>
      <c r="I5" s="544" t="s">
        <v>50</v>
      </c>
      <c r="J5" s="546" t="s">
        <v>50</v>
      </c>
      <c r="K5" s="548" t="s">
        <v>50</v>
      </c>
    </row>
    <row r="6" spans="1:11">
      <c r="A6" s="1"/>
      <c r="B6" s="545"/>
      <c r="C6" s="553"/>
      <c r="D6" s="555"/>
      <c r="E6" s="555"/>
      <c r="F6" s="553"/>
      <c r="G6" s="545"/>
      <c r="H6" s="545"/>
      <c r="I6" s="545"/>
      <c r="J6" s="547"/>
      <c r="K6" s="549"/>
    </row>
    <row r="7" spans="1:11">
      <c r="A7" s="1">
        <v>2</v>
      </c>
      <c r="B7" s="550" t="s">
        <v>51</v>
      </c>
      <c r="C7" s="551"/>
      <c r="D7" s="4"/>
      <c r="E7" s="4"/>
      <c r="F7" s="2">
        <f t="shared" ref="F7:K7" si="0">+F8+F29</f>
        <v>53549413.634285718</v>
      </c>
      <c r="G7" s="204">
        <f t="shared" si="0"/>
        <v>4414070.7340799998</v>
      </c>
      <c r="H7" s="204">
        <f t="shared" si="0"/>
        <v>13025512.900205715</v>
      </c>
      <c r="I7" s="204">
        <f t="shared" si="0"/>
        <v>5534154</v>
      </c>
      <c r="J7" s="283">
        <f t="shared" si="0"/>
        <v>14800693</v>
      </c>
      <c r="K7" s="286">
        <f t="shared" si="0"/>
        <v>15774983</v>
      </c>
    </row>
    <row r="8" spans="1:11">
      <c r="A8" s="1"/>
      <c r="B8" s="207" t="s">
        <v>30</v>
      </c>
      <c r="C8" s="6"/>
      <c r="D8" s="6"/>
      <c r="E8" s="6"/>
      <c r="F8" s="7">
        <f t="shared" ref="F8:K8" si="1">+F9+F13+F17+F21+F25</f>
        <v>17439583.634285714</v>
      </c>
      <c r="G8" s="205">
        <f t="shared" si="1"/>
        <v>4414070.7340799998</v>
      </c>
      <c r="H8" s="205">
        <f t="shared" si="1"/>
        <v>13025512.900205715</v>
      </c>
      <c r="I8" s="205">
        <f t="shared" si="1"/>
        <v>0</v>
      </c>
      <c r="J8" s="262">
        <f t="shared" si="1"/>
        <v>0</v>
      </c>
      <c r="K8" s="253">
        <f t="shared" si="1"/>
        <v>0</v>
      </c>
    </row>
    <row r="9" spans="1:11" s="5" customFormat="1">
      <c r="A9" s="8">
        <v>2.1</v>
      </c>
      <c r="B9" s="210" t="s">
        <v>52</v>
      </c>
      <c r="C9" s="9"/>
      <c r="D9" s="9"/>
      <c r="E9" s="11"/>
      <c r="F9" s="11">
        <f t="shared" ref="F9:K9" si="2">SUM(F10:F12)</f>
        <v>4665083.6342857135</v>
      </c>
      <c r="G9" s="206">
        <f t="shared" si="2"/>
        <v>1035378.73408</v>
      </c>
      <c r="H9" s="206">
        <f t="shared" si="2"/>
        <v>3629704.9002057142</v>
      </c>
      <c r="I9" s="206">
        <f t="shared" si="2"/>
        <v>0</v>
      </c>
      <c r="J9" s="265">
        <f t="shared" si="2"/>
        <v>0</v>
      </c>
      <c r="K9" s="256">
        <f t="shared" si="2"/>
        <v>0</v>
      </c>
    </row>
    <row r="10" spans="1:11" s="5" customFormat="1">
      <c r="A10" s="1" t="s">
        <v>53</v>
      </c>
      <c r="B10" s="234" t="s">
        <v>54</v>
      </c>
      <c r="C10" s="3" t="s">
        <v>34</v>
      </c>
      <c r="D10" s="3">
        <v>1</v>
      </c>
      <c r="E10" s="12">
        <f>+'Costos desglosados_C1 y C2'!G6+'Costos desglosados_C1 y C2'!H6+'Costos desglosados_C1 y C2'!I6</f>
        <v>4238575.2708571423</v>
      </c>
      <c r="F10" s="12">
        <f>+E10*D10</f>
        <v>4238575.2708571423</v>
      </c>
      <c r="G10" s="229">
        <f>F10*0.2</f>
        <v>847715.05417142855</v>
      </c>
      <c r="H10" s="229">
        <f>+F10*0.8</f>
        <v>3390860.2166857142</v>
      </c>
      <c r="I10" s="229">
        <v>0</v>
      </c>
      <c r="J10" s="266">
        <v>0</v>
      </c>
      <c r="K10" s="275">
        <v>0</v>
      </c>
    </row>
    <row r="11" spans="1:11" s="137" customFormat="1">
      <c r="A11" s="135" t="s">
        <v>55</v>
      </c>
      <c r="B11" s="234" t="s">
        <v>56</v>
      </c>
      <c r="C11" s="136" t="s">
        <v>34</v>
      </c>
      <c r="D11" s="136">
        <v>1</v>
      </c>
      <c r="E11" s="13">
        <f>+'Costos desglosados_C1 y C2'!J6*0.3</f>
        <v>127952.50902857144</v>
      </c>
      <c r="F11" s="13">
        <f>+E11*D11</f>
        <v>127952.50902857144</v>
      </c>
      <c r="G11" s="230">
        <f>+F11</f>
        <v>127952.50902857144</v>
      </c>
      <c r="H11" s="230">
        <v>0</v>
      </c>
      <c r="I11" s="230">
        <v>0</v>
      </c>
      <c r="J11" s="284">
        <v>0</v>
      </c>
      <c r="K11" s="287">
        <v>0</v>
      </c>
    </row>
    <row r="12" spans="1:11" s="137" customFormat="1">
      <c r="A12" s="135" t="s">
        <v>57</v>
      </c>
      <c r="B12" s="234" t="s">
        <v>58</v>
      </c>
      <c r="C12" s="136" t="s">
        <v>34</v>
      </c>
      <c r="D12" s="136">
        <v>1</v>
      </c>
      <c r="E12" s="13">
        <f>+'Costos desglosados_C1 y C2'!J6*0.7</f>
        <v>298555.85440000001</v>
      </c>
      <c r="F12" s="13">
        <f>+E12*D12</f>
        <v>298555.85440000001</v>
      </c>
      <c r="G12" s="229">
        <f>+F12*0.2</f>
        <v>59711.170880000005</v>
      </c>
      <c r="H12" s="229">
        <f>+F12*0.8</f>
        <v>238844.68352000002</v>
      </c>
      <c r="I12" s="230">
        <v>0</v>
      </c>
      <c r="J12" s="284">
        <v>0</v>
      </c>
      <c r="K12" s="287">
        <v>0</v>
      </c>
    </row>
    <row r="13" spans="1:11" s="5" customFormat="1">
      <c r="A13" s="8">
        <v>2.2000000000000002</v>
      </c>
      <c r="B13" s="210" t="s">
        <v>59</v>
      </c>
      <c r="C13" s="9" t="s">
        <v>34</v>
      </c>
      <c r="D13" s="9"/>
      <c r="E13" s="10"/>
      <c r="F13" s="11">
        <f t="shared" ref="F13:K13" si="3">SUM(F14:F16)</f>
        <v>6148000</v>
      </c>
      <c r="G13" s="206">
        <f t="shared" si="3"/>
        <v>1377152</v>
      </c>
      <c r="H13" s="206">
        <f t="shared" si="3"/>
        <v>4770848</v>
      </c>
      <c r="I13" s="206">
        <f t="shared" si="3"/>
        <v>0</v>
      </c>
      <c r="J13" s="265">
        <f t="shared" si="3"/>
        <v>0</v>
      </c>
      <c r="K13" s="256">
        <f t="shared" si="3"/>
        <v>0</v>
      </c>
    </row>
    <row r="14" spans="1:11">
      <c r="A14" s="1" t="s">
        <v>60</v>
      </c>
      <c r="B14" s="234" t="s">
        <v>54</v>
      </c>
      <c r="C14" s="3" t="s">
        <v>34</v>
      </c>
      <c r="D14" s="3">
        <v>1</v>
      </c>
      <c r="E14" s="169">
        <f>+'Costos desglosados_C1 y C2'!G17+'Costos desglosados_C1 y C2'!H17+'Costos desglosados_C1 y C2'!I17</f>
        <v>5533200</v>
      </c>
      <c r="F14" s="12">
        <f>+E14*D14</f>
        <v>5533200</v>
      </c>
      <c r="G14" s="229">
        <f>F14*0.2</f>
        <v>1106640</v>
      </c>
      <c r="H14" s="229">
        <f>+F14*0.8</f>
        <v>4426560</v>
      </c>
      <c r="I14" s="229">
        <v>0</v>
      </c>
      <c r="J14" s="266">
        <v>0</v>
      </c>
      <c r="K14" s="275">
        <v>0</v>
      </c>
    </row>
    <row r="15" spans="1:11">
      <c r="A15" s="1" t="s">
        <v>61</v>
      </c>
      <c r="B15" s="234" t="s">
        <v>56</v>
      </c>
      <c r="C15" s="3" t="s">
        <v>34</v>
      </c>
      <c r="D15" s="3">
        <v>1</v>
      </c>
      <c r="E15" s="169">
        <f>+'Costos desglosados_C1 y C2'!J17*0.3</f>
        <v>184440</v>
      </c>
      <c r="F15" s="12">
        <f>+E15*D15</f>
        <v>184440</v>
      </c>
      <c r="G15" s="230">
        <f>+F15</f>
        <v>184440</v>
      </c>
      <c r="H15" s="230">
        <v>0</v>
      </c>
      <c r="I15" s="229">
        <v>0</v>
      </c>
      <c r="J15" s="266">
        <v>0</v>
      </c>
      <c r="K15" s="275">
        <v>0</v>
      </c>
    </row>
    <row r="16" spans="1:11">
      <c r="A16" s="1" t="s">
        <v>62</v>
      </c>
      <c r="B16" s="234" t="s">
        <v>58</v>
      </c>
      <c r="C16" s="3" t="s">
        <v>34</v>
      </c>
      <c r="D16" s="3">
        <v>1</v>
      </c>
      <c r="E16" s="169">
        <f>+'Costos desglosados_C1 y C2'!J17*0.7</f>
        <v>430360</v>
      </c>
      <c r="F16" s="12">
        <f>+E16*D16</f>
        <v>430360</v>
      </c>
      <c r="G16" s="229">
        <f>+F16*0.2</f>
        <v>86072</v>
      </c>
      <c r="H16" s="229">
        <f>+F16*0.8</f>
        <v>344288</v>
      </c>
      <c r="I16" s="229">
        <v>0</v>
      </c>
      <c r="J16" s="266">
        <v>0</v>
      </c>
      <c r="K16" s="275">
        <v>0</v>
      </c>
    </row>
    <row r="17" spans="1:11" s="5" customFormat="1">
      <c r="A17" s="8">
        <v>2.2999999999999998</v>
      </c>
      <c r="B17" s="210" t="s">
        <v>63</v>
      </c>
      <c r="C17" s="9"/>
      <c r="D17" s="9"/>
      <c r="E17" s="11"/>
      <c r="F17" s="11">
        <f t="shared" ref="F17:K17" si="4">SUM(F18:F20)</f>
        <v>3400000</v>
      </c>
      <c r="G17" s="206">
        <f t="shared" si="4"/>
        <v>761600</v>
      </c>
      <c r="H17" s="206">
        <f t="shared" si="4"/>
        <v>2638400</v>
      </c>
      <c r="I17" s="206">
        <f t="shared" si="4"/>
        <v>0</v>
      </c>
      <c r="J17" s="265">
        <f t="shared" si="4"/>
        <v>0</v>
      </c>
      <c r="K17" s="256">
        <f t="shared" si="4"/>
        <v>0</v>
      </c>
    </row>
    <row r="18" spans="1:11">
      <c r="A18" s="1" t="s">
        <v>64</v>
      </c>
      <c r="B18" s="234" t="s">
        <v>54</v>
      </c>
      <c r="C18" s="3" t="s">
        <v>34</v>
      </c>
      <c r="D18" s="3">
        <v>1</v>
      </c>
      <c r="E18" s="169">
        <f>+'Costos desglosados_C1 y C2'!G71+'Costos desglosados_C1 y C2'!H71+'Costos desglosados_C1 y C2'!I71</f>
        <v>3060000</v>
      </c>
      <c r="F18" s="12">
        <f>+E18*D18</f>
        <v>3060000</v>
      </c>
      <c r="G18" s="229">
        <f>F18*0.2</f>
        <v>612000</v>
      </c>
      <c r="H18" s="229">
        <f>+F18*0.8</f>
        <v>2448000</v>
      </c>
      <c r="I18" s="229">
        <v>0</v>
      </c>
      <c r="J18" s="266">
        <v>0</v>
      </c>
      <c r="K18" s="275">
        <v>0</v>
      </c>
    </row>
    <row r="19" spans="1:11">
      <c r="A19" s="1" t="s">
        <v>65</v>
      </c>
      <c r="B19" s="234" t="s">
        <v>56</v>
      </c>
      <c r="C19" s="3" t="s">
        <v>34</v>
      </c>
      <c r="D19" s="3">
        <v>1</v>
      </c>
      <c r="E19" s="169">
        <f>+'Costos desglosados_C1 y C2'!J71*0.3</f>
        <v>102000</v>
      </c>
      <c r="F19" s="12">
        <f>+E19*D19</f>
        <v>102000</v>
      </c>
      <c r="G19" s="230">
        <f>+F19</f>
        <v>102000</v>
      </c>
      <c r="H19" s="230">
        <v>0</v>
      </c>
      <c r="I19" s="229">
        <v>0</v>
      </c>
      <c r="J19" s="266">
        <v>0</v>
      </c>
      <c r="K19" s="275">
        <v>0</v>
      </c>
    </row>
    <row r="20" spans="1:11">
      <c r="A20" s="1" t="s">
        <v>66</v>
      </c>
      <c r="B20" s="234" t="s">
        <v>58</v>
      </c>
      <c r="C20" s="3" t="s">
        <v>34</v>
      </c>
      <c r="D20" s="3">
        <v>1</v>
      </c>
      <c r="E20" s="169">
        <f>+'Costos desglosados_C1 y C2'!J71*0.7</f>
        <v>237999.99999999997</v>
      </c>
      <c r="F20" s="12">
        <f>+E20*D20</f>
        <v>237999.99999999997</v>
      </c>
      <c r="G20" s="229">
        <f>+F20*0.2</f>
        <v>47600</v>
      </c>
      <c r="H20" s="229">
        <f>+F20*0.8</f>
        <v>190400</v>
      </c>
      <c r="I20" s="229">
        <v>0</v>
      </c>
      <c r="J20" s="266">
        <v>0</v>
      </c>
      <c r="K20" s="275">
        <v>0</v>
      </c>
    </row>
    <row r="21" spans="1:11" s="5" customFormat="1">
      <c r="A21" s="8">
        <v>2.4</v>
      </c>
      <c r="B21" s="210" t="s">
        <v>67</v>
      </c>
      <c r="C21" s="9"/>
      <c r="D21" s="9"/>
      <c r="E21" s="11"/>
      <c r="F21" s="11">
        <f t="shared" ref="F21:K21" si="5">SUM(F22:F24)</f>
        <v>2560000</v>
      </c>
      <c r="G21" s="206">
        <f t="shared" si="5"/>
        <v>573440</v>
      </c>
      <c r="H21" s="206">
        <f t="shared" si="5"/>
        <v>1986560</v>
      </c>
      <c r="I21" s="206">
        <f t="shared" si="5"/>
        <v>0</v>
      </c>
      <c r="J21" s="265">
        <f t="shared" si="5"/>
        <v>0</v>
      </c>
      <c r="K21" s="256">
        <f t="shared" si="5"/>
        <v>0</v>
      </c>
    </row>
    <row r="22" spans="1:11">
      <c r="A22" s="1" t="s">
        <v>68</v>
      </c>
      <c r="B22" s="234" t="s">
        <v>54</v>
      </c>
      <c r="C22" s="3" t="s">
        <v>34</v>
      </c>
      <c r="D22" s="3">
        <v>1</v>
      </c>
      <c r="E22" s="169">
        <f>+'Costos desglosados_C1 y C2'!G109+'Costos desglosados_C1 y C2'!H109+'Costos desglosados_C1 y C2'!I109</f>
        <v>2304000</v>
      </c>
      <c r="F22" s="12">
        <f>+E22*D22</f>
        <v>2304000</v>
      </c>
      <c r="G22" s="229">
        <f>F22*0.2</f>
        <v>460800</v>
      </c>
      <c r="H22" s="229">
        <f>+F22*0.8</f>
        <v>1843200</v>
      </c>
      <c r="I22" s="229">
        <v>0</v>
      </c>
      <c r="J22" s="266">
        <v>0</v>
      </c>
      <c r="K22" s="275">
        <v>0</v>
      </c>
    </row>
    <row r="23" spans="1:11">
      <c r="A23" s="1" t="s">
        <v>69</v>
      </c>
      <c r="B23" s="234" t="s">
        <v>56</v>
      </c>
      <c r="C23" s="3" t="s">
        <v>34</v>
      </c>
      <c r="D23" s="3">
        <v>1</v>
      </c>
      <c r="E23" s="169">
        <f>+'Costos desglosados_C1 y C2'!J109*0.3</f>
        <v>76800</v>
      </c>
      <c r="F23" s="12">
        <f>+E23*D23</f>
        <v>76800</v>
      </c>
      <c r="G23" s="230">
        <f>+F23</f>
        <v>76800</v>
      </c>
      <c r="H23" s="230">
        <v>0</v>
      </c>
      <c r="I23" s="229">
        <v>0</v>
      </c>
      <c r="J23" s="266">
        <v>0</v>
      </c>
      <c r="K23" s="275">
        <v>0</v>
      </c>
    </row>
    <row r="24" spans="1:11">
      <c r="A24" s="1" t="s">
        <v>70</v>
      </c>
      <c r="B24" s="234" t="s">
        <v>58</v>
      </c>
      <c r="C24" s="3" t="s">
        <v>34</v>
      </c>
      <c r="D24" s="3">
        <v>1</v>
      </c>
      <c r="E24" s="169">
        <f>+'Costos desglosados_C1 y C2'!J109*0.7</f>
        <v>179200</v>
      </c>
      <c r="F24" s="12">
        <f>+E24*D24</f>
        <v>179200</v>
      </c>
      <c r="G24" s="229">
        <f>+F24*0.2</f>
        <v>35840</v>
      </c>
      <c r="H24" s="229">
        <f>+F24*0.8</f>
        <v>143360</v>
      </c>
      <c r="I24" s="229">
        <v>0</v>
      </c>
      <c r="J24" s="266">
        <v>0</v>
      </c>
      <c r="K24" s="275">
        <v>0</v>
      </c>
    </row>
    <row r="25" spans="1:11" s="5" customFormat="1">
      <c r="A25" s="8">
        <v>2.5</v>
      </c>
      <c r="B25" s="210" t="s">
        <v>71</v>
      </c>
      <c r="C25" s="9"/>
      <c r="D25" s="9"/>
      <c r="E25" s="11"/>
      <c r="F25" s="11">
        <f t="shared" ref="F25:K25" si="6">SUM(F26:F28)</f>
        <v>666500</v>
      </c>
      <c r="G25" s="206">
        <f t="shared" si="6"/>
        <v>666500</v>
      </c>
      <c r="H25" s="206">
        <f t="shared" si="6"/>
        <v>0</v>
      </c>
      <c r="I25" s="206">
        <f t="shared" si="6"/>
        <v>0</v>
      </c>
      <c r="J25" s="265">
        <f t="shared" si="6"/>
        <v>0</v>
      </c>
      <c r="K25" s="256">
        <f t="shared" si="6"/>
        <v>0</v>
      </c>
    </row>
    <row r="26" spans="1:11">
      <c r="A26" s="1" t="s">
        <v>72</v>
      </c>
      <c r="B26" s="234" t="s">
        <v>54</v>
      </c>
      <c r="C26" s="3" t="s">
        <v>34</v>
      </c>
      <c r="D26" s="3">
        <v>1</v>
      </c>
      <c r="E26" s="169">
        <f>+'Costos desglosados_C1 y C2'!G137+'Costos desglosados_C1 y C2'!H137+'Costos desglosados_C1 y C2'!I137</f>
        <v>599850</v>
      </c>
      <c r="F26" s="12">
        <f>+E26*D26</f>
        <v>599850</v>
      </c>
      <c r="G26" s="229">
        <f>+F26</f>
        <v>599850</v>
      </c>
      <c r="H26" s="229">
        <v>0</v>
      </c>
      <c r="I26" s="229">
        <v>0</v>
      </c>
      <c r="J26" s="266">
        <v>0</v>
      </c>
      <c r="K26" s="275">
        <v>0</v>
      </c>
    </row>
    <row r="27" spans="1:11">
      <c r="A27" s="1" t="s">
        <v>73</v>
      </c>
      <c r="B27" s="234" t="s">
        <v>56</v>
      </c>
      <c r="C27" s="3" t="s">
        <v>34</v>
      </c>
      <c r="D27" s="3">
        <v>1</v>
      </c>
      <c r="E27" s="169">
        <f>+'Costos desglosados_C1 y C2'!J137*0.3</f>
        <v>19995</v>
      </c>
      <c r="F27" s="12">
        <f>+E27*D27</f>
        <v>19995</v>
      </c>
      <c r="G27" s="229">
        <f>+F27</f>
        <v>19995</v>
      </c>
      <c r="H27" s="230">
        <v>0</v>
      </c>
      <c r="I27" s="229">
        <v>0</v>
      </c>
      <c r="J27" s="266">
        <v>0</v>
      </c>
      <c r="K27" s="275">
        <v>0</v>
      </c>
    </row>
    <row r="28" spans="1:11">
      <c r="A28" s="1" t="s">
        <v>74</v>
      </c>
      <c r="B28" s="234" t="s">
        <v>58</v>
      </c>
      <c r="C28" s="3" t="s">
        <v>34</v>
      </c>
      <c r="D28" s="3">
        <v>1</v>
      </c>
      <c r="E28" s="169">
        <f>+'Costos desglosados_C1 y C2'!J137*0.7</f>
        <v>46655</v>
      </c>
      <c r="F28" s="12">
        <f>+E28*D28</f>
        <v>46655</v>
      </c>
      <c r="G28" s="229">
        <f>+F28</f>
        <v>46655</v>
      </c>
      <c r="H28" s="229">
        <v>0</v>
      </c>
      <c r="I28" s="229">
        <v>0</v>
      </c>
      <c r="J28" s="266">
        <v>0</v>
      </c>
      <c r="K28" s="275">
        <v>0</v>
      </c>
    </row>
    <row r="29" spans="1:11">
      <c r="A29" s="1"/>
      <c r="B29" s="207" t="s">
        <v>47</v>
      </c>
      <c r="C29" s="6"/>
      <c r="D29" s="6"/>
      <c r="E29" s="6"/>
      <c r="F29" s="7">
        <f>+F30</f>
        <v>36109830</v>
      </c>
      <c r="G29" s="205">
        <f>+G30</f>
        <v>0</v>
      </c>
      <c r="H29" s="205">
        <f t="shared" ref="H29:K29" si="7">+H30</f>
        <v>0</v>
      </c>
      <c r="I29" s="205">
        <f t="shared" si="7"/>
        <v>5534154</v>
      </c>
      <c r="J29" s="262">
        <f t="shared" si="7"/>
        <v>14800693</v>
      </c>
      <c r="K29" s="253">
        <f>+K30+2000000</f>
        <v>15774983</v>
      </c>
    </row>
    <row r="30" spans="1:11" ht="15.75" thickBot="1">
      <c r="A30" s="1">
        <v>2.7</v>
      </c>
      <c r="B30" s="235" t="s">
        <v>75</v>
      </c>
      <c r="C30" s="236" t="s">
        <v>34</v>
      </c>
      <c r="D30" s="236">
        <v>1</v>
      </c>
      <c r="E30" s="232">
        <v>36109830</v>
      </c>
      <c r="F30" s="232">
        <f>+E30</f>
        <v>36109830</v>
      </c>
      <c r="G30" s="231">
        <v>0</v>
      </c>
      <c r="H30" s="231">
        <v>0</v>
      </c>
      <c r="I30" s="231">
        <v>5534154</v>
      </c>
      <c r="J30" s="285">
        <v>14800693</v>
      </c>
      <c r="K30" s="288">
        <v>13774983</v>
      </c>
    </row>
    <row r="32" spans="1:11">
      <c r="I32" s="225"/>
      <c r="J32" s="225"/>
    </row>
    <row r="33" spans="8:11">
      <c r="I33" s="146"/>
      <c r="J33" s="146"/>
      <c r="K33" s="146"/>
    </row>
    <row r="34" spans="8:11">
      <c r="H34" s="225"/>
    </row>
    <row r="35" spans="8:11">
      <c r="I35" s="225"/>
    </row>
    <row r="36" spans="8:11">
      <c r="I36" s="225"/>
    </row>
  </sheetData>
  <mergeCells count="14">
    <mergeCell ref="B7:C7"/>
    <mergeCell ref="A1:F1"/>
    <mergeCell ref="A2:F2"/>
    <mergeCell ref="A3:F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honeticPr fontId="6" type="noConversion"/>
  <pageMargins left="0.70866141732283472" right="0.70866141732283472" top="0.74803149606299213" bottom="0.74803149606299213" header="0.31496062992125984" footer="0.31496062992125984"/>
  <pageSetup paperSize="9" fitToWidth="2" fitToHeight="2" orientation="landscape" horizontalDpi="0" verticalDpi="0" r:id="rId1"/>
  <ignoredErrors>
    <ignoredError sqref="F13 F17 F21:F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B92C-2084-4D34-9FC1-0897B10E28D6}">
  <sheetPr>
    <pageSetUpPr fitToPage="1"/>
  </sheetPr>
  <dimension ref="A1:J16"/>
  <sheetViews>
    <sheetView zoomScale="93" zoomScaleNormal="93" workbookViewId="0">
      <selection activeCell="F20" sqref="F20"/>
    </sheetView>
  </sheetViews>
  <sheetFormatPr defaultColWidth="11.5703125" defaultRowHeight="15"/>
  <cols>
    <col min="1" max="1" width="9.85546875" customWidth="1"/>
    <col min="2" max="2" width="66.85546875" bestFit="1" customWidth="1"/>
    <col min="3" max="3" width="11.5703125" customWidth="1"/>
    <col min="4" max="4" width="9" bestFit="1" customWidth="1"/>
  </cols>
  <sheetData>
    <row r="1" spans="1:10">
      <c r="A1" s="536" t="s">
        <v>18</v>
      </c>
      <c r="B1" s="536"/>
      <c r="C1" s="536"/>
      <c r="D1" s="536"/>
      <c r="E1" s="536"/>
      <c r="F1" s="536"/>
      <c r="G1" s="536"/>
      <c r="H1" s="536"/>
      <c r="I1" s="536"/>
      <c r="J1" s="536"/>
    </row>
    <row r="2" spans="1:10">
      <c r="A2" s="536" t="s">
        <v>1</v>
      </c>
      <c r="B2" s="536"/>
      <c r="C2" s="536"/>
      <c r="D2" s="536"/>
      <c r="E2" s="536"/>
      <c r="F2" s="536"/>
      <c r="G2" s="536"/>
      <c r="H2" s="536"/>
      <c r="I2" s="536"/>
      <c r="J2" s="536"/>
    </row>
    <row r="3" spans="1:10">
      <c r="A3" s="536" t="s">
        <v>2</v>
      </c>
      <c r="B3" s="536"/>
      <c r="C3" s="536"/>
      <c r="D3" s="536"/>
      <c r="E3" s="536"/>
      <c r="F3" s="536"/>
      <c r="G3" s="536"/>
      <c r="H3" s="536"/>
      <c r="I3" s="536"/>
      <c r="J3" s="536"/>
    </row>
    <row r="4" spans="1:10">
      <c r="A4" s="239"/>
      <c r="B4" s="239"/>
      <c r="C4" s="239"/>
      <c r="D4" s="239"/>
    </row>
    <row r="5" spans="1:10">
      <c r="A5" s="1"/>
      <c r="B5" s="553" t="s">
        <v>3</v>
      </c>
      <c r="C5" s="553" t="s">
        <v>20</v>
      </c>
      <c r="D5" s="556" t="s">
        <v>21</v>
      </c>
      <c r="E5" s="553" t="s">
        <v>50</v>
      </c>
      <c r="F5" s="553" t="s">
        <v>12</v>
      </c>
      <c r="G5" s="553" t="s">
        <v>76</v>
      </c>
      <c r="H5" s="553" t="s">
        <v>77</v>
      </c>
      <c r="I5" s="553" t="s">
        <v>15</v>
      </c>
      <c r="J5" s="553" t="s">
        <v>16</v>
      </c>
    </row>
    <row r="6" spans="1:10">
      <c r="A6" s="1"/>
      <c r="B6" s="553"/>
      <c r="C6" s="553"/>
      <c r="D6" s="555"/>
      <c r="E6" s="553"/>
      <c r="F6" s="553"/>
      <c r="G6" s="553"/>
      <c r="H6" s="553"/>
      <c r="I6" s="553"/>
      <c r="J6" s="553"/>
    </row>
    <row r="7" spans="1:10">
      <c r="A7" s="1">
        <v>3</v>
      </c>
      <c r="B7" s="551" t="s">
        <v>78</v>
      </c>
      <c r="C7" s="551"/>
      <c r="D7" s="4"/>
      <c r="E7" s="18">
        <f t="shared" ref="E7" si="0">SUM(E8:E16)</f>
        <v>9150234</v>
      </c>
      <c r="F7" s="18">
        <f t="shared" ref="F7:J7" si="1">SUM(F8:F16)</f>
        <v>1790046.8</v>
      </c>
      <c r="G7" s="18">
        <f t="shared" si="1"/>
        <v>1297570.2</v>
      </c>
      <c r="H7" s="18">
        <f t="shared" si="1"/>
        <v>2322617</v>
      </c>
      <c r="I7" s="18">
        <f t="shared" si="1"/>
        <v>3050000</v>
      </c>
      <c r="J7" s="18">
        <f t="shared" si="1"/>
        <v>690000</v>
      </c>
    </row>
    <row r="8" spans="1:10" s="5" customFormat="1">
      <c r="A8" s="1">
        <v>3.1</v>
      </c>
      <c r="B8" s="14" t="s">
        <v>79</v>
      </c>
      <c r="C8" s="3" t="s">
        <v>34</v>
      </c>
      <c r="D8" s="19">
        <v>1</v>
      </c>
      <c r="E8" s="12">
        <v>525234</v>
      </c>
      <c r="F8" s="12">
        <f>+E8*0.2</f>
        <v>105046.8</v>
      </c>
      <c r="G8" s="12">
        <f>+E8*0.3</f>
        <v>157570.19999999998</v>
      </c>
      <c r="H8" s="12">
        <f>+E8*0.5</f>
        <v>262617</v>
      </c>
      <c r="I8" s="12">
        <v>0</v>
      </c>
      <c r="J8" s="12">
        <v>0</v>
      </c>
    </row>
    <row r="9" spans="1:10" s="5" customFormat="1">
      <c r="A9" s="1">
        <v>3.2</v>
      </c>
      <c r="B9" s="14" t="s">
        <v>80</v>
      </c>
      <c r="C9" s="3" t="s">
        <v>34</v>
      </c>
      <c r="D9" s="19">
        <v>1</v>
      </c>
      <c r="E9" s="12">
        <v>200000</v>
      </c>
      <c r="F9" s="12">
        <v>0</v>
      </c>
      <c r="G9" s="12">
        <v>0</v>
      </c>
      <c r="H9" s="12">
        <v>0</v>
      </c>
      <c r="I9" s="12">
        <f>+E9</f>
        <v>200000</v>
      </c>
      <c r="J9" s="12">
        <v>0</v>
      </c>
    </row>
    <row r="10" spans="1:10">
      <c r="A10" s="1">
        <v>3.3</v>
      </c>
      <c r="B10" s="14" t="s">
        <v>81</v>
      </c>
      <c r="C10" s="3" t="s">
        <v>34</v>
      </c>
      <c r="D10" s="19">
        <v>1</v>
      </c>
      <c r="E10" s="12">
        <v>4000000</v>
      </c>
      <c r="F10" s="12">
        <f>+E10*0.3</f>
        <v>1200000</v>
      </c>
      <c r="G10" s="12">
        <f>+E10*0.2</f>
        <v>800000</v>
      </c>
      <c r="H10" s="12">
        <f>+E10*0.2</f>
        <v>800000</v>
      </c>
      <c r="I10" s="12">
        <f>+E10*0.3</f>
        <v>1200000</v>
      </c>
      <c r="J10" s="12">
        <v>0</v>
      </c>
    </row>
    <row r="11" spans="1:10">
      <c r="A11" s="1">
        <v>3.4</v>
      </c>
      <c r="B11" s="14" t="s">
        <v>82</v>
      </c>
      <c r="C11" s="3" t="s">
        <v>34</v>
      </c>
      <c r="D11" s="19">
        <v>1</v>
      </c>
      <c r="E11" s="12">
        <v>75000</v>
      </c>
      <c r="F11" s="12">
        <f>+E11</f>
        <v>75000</v>
      </c>
      <c r="G11" s="12">
        <v>0</v>
      </c>
      <c r="H11" s="12">
        <v>0</v>
      </c>
      <c r="I11" s="12">
        <v>0</v>
      </c>
      <c r="J11" s="12">
        <v>0</v>
      </c>
    </row>
    <row r="12" spans="1:10" ht="23.25">
      <c r="A12" s="1">
        <v>3.5</v>
      </c>
      <c r="B12" s="184" t="s">
        <v>83</v>
      </c>
      <c r="C12" s="3" t="s">
        <v>34</v>
      </c>
      <c r="D12" s="19">
        <v>1</v>
      </c>
      <c r="E12" s="12">
        <v>1800000</v>
      </c>
      <c r="F12" s="12">
        <v>0</v>
      </c>
      <c r="G12" s="12">
        <v>0</v>
      </c>
      <c r="H12" s="12">
        <f>+E12*0.3</f>
        <v>540000</v>
      </c>
      <c r="I12" s="12">
        <f>+E12*0.5</f>
        <v>900000</v>
      </c>
      <c r="J12" s="12">
        <f>+E12*0.2</f>
        <v>360000</v>
      </c>
    </row>
    <row r="13" spans="1:10">
      <c r="A13" s="1">
        <v>3.6</v>
      </c>
      <c r="B13" s="14" t="s">
        <v>84</v>
      </c>
      <c r="C13" s="3" t="s">
        <v>34</v>
      </c>
      <c r="D13" s="19">
        <v>1</v>
      </c>
      <c r="E13" s="12">
        <v>1400000</v>
      </c>
      <c r="F13" s="12">
        <v>0</v>
      </c>
      <c r="G13" s="12">
        <v>0</v>
      </c>
      <c r="H13" s="12">
        <f>+E13*0.3</f>
        <v>420000</v>
      </c>
      <c r="I13" s="12">
        <f>+E13*0.5</f>
        <v>700000</v>
      </c>
      <c r="J13" s="12">
        <f>+E13*0.2</f>
        <v>280000</v>
      </c>
    </row>
    <row r="14" spans="1:10">
      <c r="A14" s="1">
        <v>3.7</v>
      </c>
      <c r="B14" s="14" t="s">
        <v>85</v>
      </c>
      <c r="C14" s="3" t="s">
        <v>34</v>
      </c>
      <c r="D14" s="19">
        <v>1</v>
      </c>
      <c r="E14" s="12">
        <v>250000</v>
      </c>
      <c r="F14" s="12">
        <f>+E14/5</f>
        <v>50000</v>
      </c>
      <c r="G14" s="12">
        <f>+F14</f>
        <v>50000</v>
      </c>
      <c r="H14" s="12">
        <f>+G14</f>
        <v>50000</v>
      </c>
      <c r="I14" s="12">
        <f>+H14</f>
        <v>50000</v>
      </c>
      <c r="J14" s="12">
        <f>+I14</f>
        <v>50000</v>
      </c>
    </row>
    <row r="15" spans="1:10">
      <c r="A15" s="1">
        <v>3.8</v>
      </c>
      <c r="B15" s="14" t="s">
        <v>86</v>
      </c>
      <c r="C15" s="3" t="s">
        <v>34</v>
      </c>
      <c r="D15" s="19">
        <v>1</v>
      </c>
      <c r="E15" s="12">
        <v>200000</v>
      </c>
      <c r="F15" s="12">
        <f>+E15*0.4</f>
        <v>80000</v>
      </c>
      <c r="G15" s="12">
        <f>+E15*0.4</f>
        <v>80000</v>
      </c>
      <c r="H15" s="12">
        <f>+E15*0.2</f>
        <v>40000</v>
      </c>
      <c r="I15" s="12">
        <v>0</v>
      </c>
      <c r="J15" s="12">
        <v>0</v>
      </c>
    </row>
    <row r="16" spans="1:10" s="5" customFormat="1">
      <c r="A16" s="1">
        <v>3.9</v>
      </c>
      <c r="B16" s="14" t="s">
        <v>87</v>
      </c>
      <c r="C16" s="3" t="s">
        <v>34</v>
      </c>
      <c r="D16" s="19">
        <v>1</v>
      </c>
      <c r="E16" s="12">
        <v>700000</v>
      </c>
      <c r="F16" s="12">
        <f>+E16*0.4</f>
        <v>280000</v>
      </c>
      <c r="G16" s="12">
        <f>+E16*0.3</f>
        <v>210000</v>
      </c>
      <c r="H16" s="12">
        <f>+E16*0.3</f>
        <v>210000</v>
      </c>
      <c r="I16" s="12">
        <v>0</v>
      </c>
      <c r="J16" s="12">
        <v>0</v>
      </c>
    </row>
  </sheetData>
  <mergeCells count="13">
    <mergeCell ref="A1:J1"/>
    <mergeCell ref="A2:J2"/>
    <mergeCell ref="A3:J3"/>
    <mergeCell ref="E5:E6"/>
    <mergeCell ref="B7:C7"/>
    <mergeCell ref="B5:B6"/>
    <mergeCell ref="C5:C6"/>
    <mergeCell ref="D5:D6"/>
    <mergeCell ref="I5:I6"/>
    <mergeCell ref="J5:J6"/>
    <mergeCell ref="F5:F6"/>
    <mergeCell ref="G5:G6"/>
    <mergeCell ref="H5:H6"/>
  </mergeCells>
  <pageMargins left="0.70866141732283472" right="0.70866141732283472" top="0.74803149606299213" bottom="0.74803149606299213" header="0.31496062992125984" footer="0.31496062992125984"/>
  <pageSetup paperSize="9" fitToWidth="2" fitToHeight="2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6667-5246-4905-BB6C-E07489C0D0AB}">
  <dimension ref="A3:L38"/>
  <sheetViews>
    <sheetView topLeftCell="A13" zoomScaleNormal="100" workbookViewId="0">
      <selection activeCell="E28" sqref="E28"/>
    </sheetView>
  </sheetViews>
  <sheetFormatPr defaultColWidth="11.42578125" defaultRowHeight="11.25"/>
  <cols>
    <col min="1" max="1" width="45" style="25" customWidth="1"/>
    <col min="2" max="2" width="12.42578125" style="25" bestFit="1" customWidth="1"/>
    <col min="3" max="3" width="11" style="25" bestFit="1" customWidth="1"/>
    <col min="4" max="4" width="12.42578125" style="25" bestFit="1" customWidth="1"/>
    <col min="5" max="5" width="10.5703125" style="25" bestFit="1" customWidth="1"/>
    <col min="6" max="6" width="12.42578125" style="25" bestFit="1" customWidth="1"/>
    <col min="7" max="7" width="10.5703125" style="25" bestFit="1" customWidth="1"/>
    <col min="8" max="8" width="12.42578125" style="25" bestFit="1" customWidth="1"/>
    <col min="9" max="9" width="10.5703125" style="25" bestFit="1" customWidth="1"/>
    <col min="10" max="10" width="12.42578125" style="25" bestFit="1" customWidth="1"/>
    <col min="11" max="11" width="10.5703125" style="25" bestFit="1" customWidth="1"/>
    <col min="12" max="12" width="15.85546875" style="25" bestFit="1" customWidth="1"/>
    <col min="13" max="16384" width="11.42578125" style="25"/>
  </cols>
  <sheetData>
    <row r="3" spans="1:12" ht="12" thickBot="1">
      <c r="A3" s="557" t="s">
        <v>88</v>
      </c>
      <c r="B3" s="558"/>
      <c r="C3" s="558"/>
      <c r="D3" s="558"/>
      <c r="E3" s="558"/>
      <c r="F3" s="558"/>
      <c r="G3" s="558"/>
      <c r="H3" s="558"/>
      <c r="I3" s="558"/>
      <c r="J3" s="558"/>
      <c r="K3" s="559"/>
      <c r="L3" s="26"/>
    </row>
    <row r="4" spans="1:12">
      <c r="A4" s="27"/>
      <c r="B4" s="560" t="s">
        <v>89</v>
      </c>
      <c r="C4" s="561"/>
      <c r="D4" s="560" t="s">
        <v>90</v>
      </c>
      <c r="E4" s="561"/>
      <c r="F4" s="560" t="s">
        <v>91</v>
      </c>
      <c r="G4" s="561"/>
      <c r="H4" s="560" t="s">
        <v>92</v>
      </c>
      <c r="I4" s="561"/>
      <c r="J4" s="560" t="s">
        <v>93</v>
      </c>
      <c r="K4" s="561"/>
      <c r="L4" s="28"/>
    </row>
    <row r="5" spans="1:12" ht="22.5">
      <c r="A5" s="29"/>
      <c r="B5" s="30" t="s">
        <v>94</v>
      </c>
      <c r="C5" s="31" t="s">
        <v>95</v>
      </c>
      <c r="D5" s="30" t="s">
        <v>94</v>
      </c>
      <c r="E5" s="31" t="s">
        <v>95</v>
      </c>
      <c r="F5" s="30" t="s">
        <v>94</v>
      </c>
      <c r="G5" s="31" t="s">
        <v>95</v>
      </c>
      <c r="H5" s="30" t="s">
        <v>94</v>
      </c>
      <c r="I5" s="31" t="s">
        <v>95</v>
      </c>
      <c r="J5" s="30" t="s">
        <v>94</v>
      </c>
      <c r="K5" s="31" t="s">
        <v>95</v>
      </c>
      <c r="L5" s="32" t="s">
        <v>96</v>
      </c>
    </row>
    <row r="6" spans="1:12">
      <c r="A6" s="33" t="s">
        <v>97</v>
      </c>
      <c r="B6" s="34">
        <f>5000</f>
        <v>5000</v>
      </c>
      <c r="C6" s="35">
        <f>+B6*12</f>
        <v>60000</v>
      </c>
      <c r="D6" s="36">
        <f>+B6*(1+$P$5)</f>
        <v>5000</v>
      </c>
      <c r="E6" s="35">
        <f>+D6*12</f>
        <v>60000</v>
      </c>
      <c r="F6" s="36">
        <f>+D6*(1+$P$5)</f>
        <v>5000</v>
      </c>
      <c r="G6" s="35">
        <f>+F6*12</f>
        <v>60000</v>
      </c>
      <c r="H6" s="36">
        <f>+F6*(1+$P$5)</f>
        <v>5000</v>
      </c>
      <c r="I6" s="35">
        <f>+H6*12</f>
        <v>60000</v>
      </c>
      <c r="J6" s="36">
        <f>+H6*(1+$P$5)</f>
        <v>5000</v>
      </c>
      <c r="K6" s="37">
        <f>+J6*12</f>
        <v>60000</v>
      </c>
      <c r="L6" s="38">
        <f>+E6+G6+I6+K6+C6</f>
        <v>300000</v>
      </c>
    </row>
    <row r="7" spans="1:12">
      <c r="A7" s="39" t="s">
        <v>98</v>
      </c>
      <c r="B7" s="40">
        <f>3500</f>
        <v>3500</v>
      </c>
      <c r="C7" s="41">
        <f t="shared" ref="C7:C14" si="0">+B7*12</f>
        <v>42000</v>
      </c>
      <c r="D7" s="36">
        <f t="shared" ref="D7:D14" si="1">+B7*(1+$P$5)</f>
        <v>3500</v>
      </c>
      <c r="E7" s="41">
        <f t="shared" ref="E7:E14" si="2">+D7*12</f>
        <v>42000</v>
      </c>
      <c r="F7" s="36">
        <f t="shared" ref="F7:F14" si="3">+D7*(1+$P$5)</f>
        <v>3500</v>
      </c>
      <c r="G7" s="41">
        <f t="shared" ref="G7:G14" si="4">+F7*12</f>
        <v>42000</v>
      </c>
      <c r="H7" s="36">
        <f t="shared" ref="H7:H14" si="5">+F7*(1+$P$5)</f>
        <v>3500</v>
      </c>
      <c r="I7" s="41">
        <f t="shared" ref="I7:I14" si="6">+H7*12</f>
        <v>42000</v>
      </c>
      <c r="J7" s="36">
        <f t="shared" ref="J7:J14" si="7">+H7*(1+$P$5)</f>
        <v>3500</v>
      </c>
      <c r="K7" s="42">
        <f t="shared" ref="K7:K14" si="8">+J7*12</f>
        <v>42000</v>
      </c>
      <c r="L7" s="43">
        <f t="shared" ref="L7:L31" si="9">+E7+G7+I7+K7+C7</f>
        <v>210000</v>
      </c>
    </row>
    <row r="8" spans="1:12">
      <c r="A8" s="39" t="s">
        <v>99</v>
      </c>
      <c r="B8" s="40">
        <f>+B7</f>
        <v>3500</v>
      </c>
      <c r="C8" s="41">
        <f t="shared" si="0"/>
        <v>42000</v>
      </c>
      <c r="D8" s="36">
        <f t="shared" si="1"/>
        <v>3500</v>
      </c>
      <c r="E8" s="41">
        <f t="shared" si="2"/>
        <v>42000</v>
      </c>
      <c r="F8" s="36">
        <f t="shared" si="3"/>
        <v>3500</v>
      </c>
      <c r="G8" s="41">
        <f t="shared" si="4"/>
        <v>42000</v>
      </c>
      <c r="H8" s="36">
        <f t="shared" si="5"/>
        <v>3500</v>
      </c>
      <c r="I8" s="41">
        <f t="shared" si="6"/>
        <v>42000</v>
      </c>
      <c r="J8" s="36">
        <f t="shared" si="7"/>
        <v>3500</v>
      </c>
      <c r="K8" s="42">
        <f t="shared" si="8"/>
        <v>42000</v>
      </c>
      <c r="L8" s="43">
        <f t="shared" si="9"/>
        <v>210000</v>
      </c>
    </row>
    <row r="9" spans="1:12">
      <c r="A9" s="39" t="s">
        <v>100</v>
      </c>
      <c r="B9" s="40">
        <f t="shared" ref="B9:B13" si="10">+B8</f>
        <v>3500</v>
      </c>
      <c r="C9" s="41">
        <f t="shared" si="0"/>
        <v>42000</v>
      </c>
      <c r="D9" s="36">
        <f t="shared" si="1"/>
        <v>3500</v>
      </c>
      <c r="E9" s="41">
        <f t="shared" si="2"/>
        <v>42000</v>
      </c>
      <c r="F9" s="36">
        <f t="shared" si="3"/>
        <v>3500</v>
      </c>
      <c r="G9" s="41">
        <f t="shared" si="4"/>
        <v>42000</v>
      </c>
      <c r="H9" s="36">
        <f t="shared" si="5"/>
        <v>3500</v>
      </c>
      <c r="I9" s="41">
        <f t="shared" si="6"/>
        <v>42000</v>
      </c>
      <c r="J9" s="36">
        <f t="shared" si="7"/>
        <v>3500</v>
      </c>
      <c r="K9" s="42">
        <f t="shared" si="8"/>
        <v>42000</v>
      </c>
      <c r="L9" s="43">
        <f t="shared" si="9"/>
        <v>210000</v>
      </c>
    </row>
    <row r="10" spans="1:12">
      <c r="A10" s="39" t="s">
        <v>101</v>
      </c>
      <c r="B10" s="40">
        <f t="shared" si="10"/>
        <v>3500</v>
      </c>
      <c r="C10" s="41">
        <f t="shared" si="0"/>
        <v>42000</v>
      </c>
      <c r="D10" s="36">
        <f t="shared" si="1"/>
        <v>3500</v>
      </c>
      <c r="E10" s="41">
        <f t="shared" si="2"/>
        <v>42000</v>
      </c>
      <c r="F10" s="36">
        <f t="shared" si="3"/>
        <v>3500</v>
      </c>
      <c r="G10" s="41">
        <f t="shared" si="4"/>
        <v>42000</v>
      </c>
      <c r="H10" s="36">
        <f t="shared" si="5"/>
        <v>3500</v>
      </c>
      <c r="I10" s="41">
        <f t="shared" si="6"/>
        <v>42000</v>
      </c>
      <c r="J10" s="36">
        <f t="shared" si="7"/>
        <v>3500</v>
      </c>
      <c r="K10" s="42">
        <f t="shared" si="8"/>
        <v>42000</v>
      </c>
      <c r="L10" s="43">
        <f t="shared" si="9"/>
        <v>210000</v>
      </c>
    </row>
    <row r="11" spans="1:12">
      <c r="A11" s="39" t="s">
        <v>102</v>
      </c>
      <c r="B11" s="40">
        <f t="shared" si="10"/>
        <v>3500</v>
      </c>
      <c r="C11" s="41">
        <f t="shared" si="0"/>
        <v>42000</v>
      </c>
      <c r="D11" s="36">
        <f t="shared" si="1"/>
        <v>3500</v>
      </c>
      <c r="E11" s="41">
        <f t="shared" si="2"/>
        <v>42000</v>
      </c>
      <c r="F11" s="36">
        <f t="shared" si="3"/>
        <v>3500</v>
      </c>
      <c r="G11" s="41">
        <f t="shared" si="4"/>
        <v>42000</v>
      </c>
      <c r="H11" s="36">
        <f t="shared" si="5"/>
        <v>3500</v>
      </c>
      <c r="I11" s="41">
        <f t="shared" si="6"/>
        <v>42000</v>
      </c>
      <c r="J11" s="36">
        <f t="shared" si="7"/>
        <v>3500</v>
      </c>
      <c r="K11" s="42">
        <f t="shared" si="8"/>
        <v>42000</v>
      </c>
      <c r="L11" s="43">
        <f t="shared" si="9"/>
        <v>210000</v>
      </c>
    </row>
    <row r="12" spans="1:12">
      <c r="A12" s="39" t="s">
        <v>103</v>
      </c>
      <c r="B12" s="40">
        <f t="shared" si="10"/>
        <v>3500</v>
      </c>
      <c r="C12" s="41">
        <f t="shared" si="0"/>
        <v>42000</v>
      </c>
      <c r="D12" s="36">
        <f t="shared" si="1"/>
        <v>3500</v>
      </c>
      <c r="E12" s="41">
        <f t="shared" si="2"/>
        <v>42000</v>
      </c>
      <c r="F12" s="36">
        <f t="shared" si="3"/>
        <v>3500</v>
      </c>
      <c r="G12" s="41">
        <f t="shared" si="4"/>
        <v>42000</v>
      </c>
      <c r="H12" s="36">
        <f t="shared" si="5"/>
        <v>3500</v>
      </c>
      <c r="I12" s="41">
        <f t="shared" si="6"/>
        <v>42000</v>
      </c>
      <c r="J12" s="36">
        <f t="shared" si="7"/>
        <v>3500</v>
      </c>
      <c r="K12" s="42">
        <f t="shared" si="8"/>
        <v>42000</v>
      </c>
      <c r="L12" s="43">
        <f t="shared" si="9"/>
        <v>210000</v>
      </c>
    </row>
    <row r="13" spans="1:12">
      <c r="A13" s="39" t="s">
        <v>104</v>
      </c>
      <c r="B13" s="40">
        <f t="shared" si="10"/>
        <v>3500</v>
      </c>
      <c r="C13" s="41">
        <f t="shared" si="0"/>
        <v>42000</v>
      </c>
      <c r="D13" s="36">
        <f t="shared" si="1"/>
        <v>3500</v>
      </c>
      <c r="E13" s="41">
        <f t="shared" si="2"/>
        <v>42000</v>
      </c>
      <c r="F13" s="36">
        <f t="shared" si="3"/>
        <v>3500</v>
      </c>
      <c r="G13" s="41">
        <f t="shared" si="4"/>
        <v>42000</v>
      </c>
      <c r="H13" s="36">
        <f t="shared" si="5"/>
        <v>3500</v>
      </c>
      <c r="I13" s="41">
        <f t="shared" si="6"/>
        <v>42000</v>
      </c>
      <c r="J13" s="36">
        <f t="shared" si="7"/>
        <v>3500</v>
      </c>
      <c r="K13" s="42">
        <f t="shared" si="8"/>
        <v>42000</v>
      </c>
      <c r="L13" s="43">
        <f t="shared" si="9"/>
        <v>210000</v>
      </c>
    </row>
    <row r="14" spans="1:12">
      <c r="A14" s="44" t="s">
        <v>105</v>
      </c>
      <c r="B14" s="45">
        <f>1100*3</f>
        <v>3300</v>
      </c>
      <c r="C14" s="41">
        <f t="shared" si="0"/>
        <v>39600</v>
      </c>
      <c r="D14" s="36">
        <f t="shared" si="1"/>
        <v>3300</v>
      </c>
      <c r="E14" s="41">
        <f t="shared" si="2"/>
        <v>39600</v>
      </c>
      <c r="F14" s="36">
        <f t="shared" si="3"/>
        <v>3300</v>
      </c>
      <c r="G14" s="41">
        <f t="shared" si="4"/>
        <v>39600</v>
      </c>
      <c r="H14" s="36">
        <f t="shared" si="5"/>
        <v>3300</v>
      </c>
      <c r="I14" s="41">
        <f t="shared" si="6"/>
        <v>39600</v>
      </c>
      <c r="J14" s="36">
        <f t="shared" si="7"/>
        <v>3300</v>
      </c>
      <c r="K14" s="42">
        <f t="shared" si="8"/>
        <v>39600</v>
      </c>
      <c r="L14" s="43">
        <f t="shared" si="9"/>
        <v>198000</v>
      </c>
    </row>
    <row r="15" spans="1:12">
      <c r="A15" s="46" t="s">
        <v>106</v>
      </c>
      <c r="B15" s="47">
        <f>SUM(B6:B14)</f>
        <v>32800</v>
      </c>
      <c r="C15" s="47">
        <f t="shared" ref="C15:L15" si="11">SUM(C6:C14)</f>
        <v>393600</v>
      </c>
      <c r="D15" s="47">
        <f t="shared" si="11"/>
        <v>32800</v>
      </c>
      <c r="E15" s="47">
        <f t="shared" si="11"/>
        <v>393600</v>
      </c>
      <c r="F15" s="47">
        <f t="shared" si="11"/>
        <v>32800</v>
      </c>
      <c r="G15" s="47">
        <f t="shared" si="11"/>
        <v>393600</v>
      </c>
      <c r="H15" s="47">
        <f t="shared" si="11"/>
        <v>32800</v>
      </c>
      <c r="I15" s="47">
        <f t="shared" si="11"/>
        <v>393600</v>
      </c>
      <c r="J15" s="47">
        <f t="shared" si="11"/>
        <v>32800</v>
      </c>
      <c r="K15" s="47">
        <f t="shared" si="11"/>
        <v>393600</v>
      </c>
      <c r="L15" s="47">
        <f t="shared" si="11"/>
        <v>1968000</v>
      </c>
    </row>
    <row r="16" spans="1:12">
      <c r="A16" s="48" t="s">
        <v>107</v>
      </c>
      <c r="B16" s="49">
        <v>4000</v>
      </c>
      <c r="C16" s="50">
        <f>+B16*12</f>
        <v>48000</v>
      </c>
      <c r="D16" s="50">
        <f>+B16*(1+$P$5)</f>
        <v>4000</v>
      </c>
      <c r="E16" s="50">
        <f>+D16*12</f>
        <v>48000</v>
      </c>
      <c r="F16" s="51">
        <f>+D16*(1+$P$5)</f>
        <v>4000</v>
      </c>
      <c r="G16" s="51">
        <f t="shared" ref="G16:G27" si="12">+F16*12</f>
        <v>48000</v>
      </c>
      <c r="H16" s="51">
        <f>+F16*(1+$P$5)</f>
        <v>4000</v>
      </c>
      <c r="I16" s="51">
        <f t="shared" ref="I16:I27" si="13">+H16*12</f>
        <v>48000</v>
      </c>
      <c r="J16" s="51">
        <f>+H16*(1+$P$5)</f>
        <v>4000</v>
      </c>
      <c r="K16" s="51">
        <f t="shared" ref="K16:K27" si="14">+J16*12</f>
        <v>48000</v>
      </c>
      <c r="L16" s="52">
        <f t="shared" si="9"/>
        <v>240000</v>
      </c>
    </row>
    <row r="17" spans="1:12">
      <c r="A17" s="48" t="s">
        <v>108</v>
      </c>
      <c r="B17" s="49">
        <v>2000</v>
      </c>
      <c r="C17" s="50">
        <f>+B17*12</f>
        <v>24000</v>
      </c>
      <c r="D17" s="50">
        <f>+B17*(1+$P$5)</f>
        <v>2000</v>
      </c>
      <c r="E17" s="50">
        <f t="shared" ref="E17:E27" si="15">+D17*12</f>
        <v>24000</v>
      </c>
      <c r="F17" s="51">
        <f t="shared" ref="F17:F27" si="16">+D17*(1+$P$5)</f>
        <v>2000</v>
      </c>
      <c r="G17" s="51">
        <f t="shared" si="12"/>
        <v>24000</v>
      </c>
      <c r="H17" s="51">
        <f t="shared" ref="H17:H27" si="17">+F17*(1+$P$5)</f>
        <v>2000</v>
      </c>
      <c r="I17" s="51">
        <f t="shared" si="13"/>
        <v>24000</v>
      </c>
      <c r="J17" s="51">
        <f t="shared" ref="J17:J27" si="18">+H17*(1+$P$5)</f>
        <v>2000</v>
      </c>
      <c r="K17" s="51">
        <f t="shared" si="14"/>
        <v>24000</v>
      </c>
      <c r="L17" s="52">
        <f t="shared" si="9"/>
        <v>120000</v>
      </c>
    </row>
    <row r="18" spans="1:12">
      <c r="A18" s="48" t="s">
        <v>109</v>
      </c>
      <c r="B18" s="49">
        <f>4*271</f>
        <v>1084</v>
      </c>
      <c r="C18" s="50">
        <f>+B18*12</f>
        <v>13008</v>
      </c>
      <c r="D18" s="50">
        <f>+B18*(1+$P$5)</f>
        <v>1084</v>
      </c>
      <c r="E18" s="50">
        <f t="shared" si="15"/>
        <v>13008</v>
      </c>
      <c r="F18" s="51">
        <f t="shared" si="16"/>
        <v>1084</v>
      </c>
      <c r="G18" s="51">
        <f t="shared" si="12"/>
        <v>13008</v>
      </c>
      <c r="H18" s="51">
        <f t="shared" si="17"/>
        <v>1084</v>
      </c>
      <c r="I18" s="51">
        <f t="shared" si="13"/>
        <v>13008</v>
      </c>
      <c r="J18" s="51">
        <f t="shared" si="18"/>
        <v>1084</v>
      </c>
      <c r="K18" s="51">
        <f t="shared" si="14"/>
        <v>13008</v>
      </c>
      <c r="L18" s="52">
        <f t="shared" si="9"/>
        <v>65040</v>
      </c>
    </row>
    <row r="19" spans="1:12">
      <c r="A19" s="48" t="s">
        <v>110</v>
      </c>
      <c r="B19" s="49">
        <v>500</v>
      </c>
      <c r="C19" s="50">
        <f t="shared" ref="C19:C26" si="19">+B19*12</f>
        <v>6000</v>
      </c>
      <c r="D19" s="50">
        <f t="shared" ref="D19:D27" si="20">+B19*(1+$P$5)</f>
        <v>500</v>
      </c>
      <c r="E19" s="50">
        <f t="shared" si="15"/>
        <v>6000</v>
      </c>
      <c r="F19" s="51">
        <f t="shared" si="16"/>
        <v>500</v>
      </c>
      <c r="G19" s="51">
        <f t="shared" si="12"/>
        <v>6000</v>
      </c>
      <c r="H19" s="51">
        <f t="shared" si="17"/>
        <v>500</v>
      </c>
      <c r="I19" s="51">
        <f t="shared" si="13"/>
        <v>6000</v>
      </c>
      <c r="J19" s="51">
        <f t="shared" si="18"/>
        <v>500</v>
      </c>
      <c r="K19" s="51">
        <f t="shared" si="14"/>
        <v>6000</v>
      </c>
      <c r="L19" s="52">
        <f t="shared" si="9"/>
        <v>30000</v>
      </c>
    </row>
    <row r="20" spans="1:12">
      <c r="A20" s="48" t="s">
        <v>111</v>
      </c>
      <c r="B20" s="49">
        <f>600*2</f>
        <v>1200</v>
      </c>
      <c r="C20" s="50">
        <f>+(B20*12)+2000</f>
        <v>16400</v>
      </c>
      <c r="D20" s="50">
        <f t="shared" si="20"/>
        <v>1200</v>
      </c>
      <c r="E20" s="50">
        <f t="shared" si="15"/>
        <v>14400</v>
      </c>
      <c r="F20" s="51">
        <f t="shared" si="16"/>
        <v>1200</v>
      </c>
      <c r="G20" s="51">
        <f t="shared" si="12"/>
        <v>14400</v>
      </c>
      <c r="H20" s="51">
        <f t="shared" si="17"/>
        <v>1200</v>
      </c>
      <c r="I20" s="51">
        <f t="shared" si="13"/>
        <v>14400</v>
      </c>
      <c r="J20" s="51">
        <f t="shared" si="18"/>
        <v>1200</v>
      </c>
      <c r="K20" s="51">
        <f t="shared" si="14"/>
        <v>14400</v>
      </c>
      <c r="L20" s="52">
        <f t="shared" si="9"/>
        <v>74000</v>
      </c>
    </row>
    <row r="21" spans="1:12">
      <c r="A21" s="48" t="s">
        <v>112</v>
      </c>
      <c r="B21" s="49">
        <v>1000</v>
      </c>
      <c r="C21" s="50">
        <f>+(B21*12)+3000</f>
        <v>15000</v>
      </c>
      <c r="D21" s="50">
        <f t="shared" si="20"/>
        <v>1000</v>
      </c>
      <c r="E21" s="50">
        <f t="shared" si="15"/>
        <v>12000</v>
      </c>
      <c r="F21" s="51">
        <f t="shared" si="16"/>
        <v>1000</v>
      </c>
      <c r="G21" s="51">
        <f t="shared" si="12"/>
        <v>12000</v>
      </c>
      <c r="H21" s="51">
        <f t="shared" si="17"/>
        <v>1000</v>
      </c>
      <c r="I21" s="51">
        <f t="shared" si="13"/>
        <v>12000</v>
      </c>
      <c r="J21" s="51">
        <f t="shared" si="18"/>
        <v>1000</v>
      </c>
      <c r="K21" s="51">
        <f t="shared" si="14"/>
        <v>12000</v>
      </c>
      <c r="L21" s="52">
        <f t="shared" si="9"/>
        <v>63000</v>
      </c>
    </row>
    <row r="22" spans="1:12">
      <c r="A22" s="48" t="s">
        <v>113</v>
      </c>
      <c r="B22" s="49">
        <v>1200</v>
      </c>
      <c r="C22" s="50">
        <f t="shared" si="19"/>
        <v>14400</v>
      </c>
      <c r="D22" s="50">
        <f t="shared" si="20"/>
        <v>1200</v>
      </c>
      <c r="E22" s="50">
        <f t="shared" si="15"/>
        <v>14400</v>
      </c>
      <c r="F22" s="51">
        <f t="shared" si="16"/>
        <v>1200</v>
      </c>
      <c r="G22" s="51">
        <f t="shared" si="12"/>
        <v>14400</v>
      </c>
      <c r="H22" s="51">
        <f t="shared" si="17"/>
        <v>1200</v>
      </c>
      <c r="I22" s="51">
        <f t="shared" si="13"/>
        <v>14400</v>
      </c>
      <c r="J22" s="51">
        <f t="shared" si="18"/>
        <v>1200</v>
      </c>
      <c r="K22" s="51">
        <f t="shared" si="14"/>
        <v>14400</v>
      </c>
      <c r="L22" s="52">
        <f t="shared" si="9"/>
        <v>72000</v>
      </c>
    </row>
    <row r="23" spans="1:12">
      <c r="A23" s="237" t="s">
        <v>114</v>
      </c>
      <c r="B23" s="53">
        <f>30000*3</f>
        <v>90000</v>
      </c>
      <c r="C23" s="53">
        <f>+B23*1</f>
        <v>90000</v>
      </c>
      <c r="D23" s="53">
        <v>0</v>
      </c>
      <c r="E23" s="53">
        <f t="shared" si="15"/>
        <v>0</v>
      </c>
      <c r="F23" s="54">
        <f t="shared" si="16"/>
        <v>0</v>
      </c>
      <c r="G23" s="54">
        <f t="shared" si="12"/>
        <v>0</v>
      </c>
      <c r="H23" s="54">
        <f t="shared" si="17"/>
        <v>0</v>
      </c>
      <c r="I23" s="54">
        <f t="shared" si="13"/>
        <v>0</v>
      </c>
      <c r="J23" s="54">
        <f t="shared" si="18"/>
        <v>0</v>
      </c>
      <c r="K23" s="54">
        <f t="shared" si="14"/>
        <v>0</v>
      </c>
      <c r="L23" s="55">
        <f t="shared" si="9"/>
        <v>90000</v>
      </c>
    </row>
    <row r="24" spans="1:12">
      <c r="A24" s="48" t="s">
        <v>115</v>
      </c>
      <c r="B24" s="49">
        <f>1200*11</f>
        <v>13200</v>
      </c>
      <c r="C24" s="50">
        <f t="shared" si="19"/>
        <v>158400</v>
      </c>
      <c r="D24" s="50">
        <v>0</v>
      </c>
      <c r="E24" s="50">
        <f t="shared" si="15"/>
        <v>0</v>
      </c>
      <c r="F24" s="51">
        <f t="shared" si="16"/>
        <v>0</v>
      </c>
      <c r="G24" s="51">
        <f t="shared" si="12"/>
        <v>0</v>
      </c>
      <c r="H24" s="51">
        <f t="shared" si="17"/>
        <v>0</v>
      </c>
      <c r="I24" s="51">
        <f t="shared" si="13"/>
        <v>0</v>
      </c>
      <c r="J24" s="51">
        <f t="shared" si="18"/>
        <v>0</v>
      </c>
      <c r="K24" s="51">
        <f t="shared" si="14"/>
        <v>0</v>
      </c>
      <c r="L24" s="52">
        <f t="shared" si="9"/>
        <v>158400</v>
      </c>
    </row>
    <row r="25" spans="1:12">
      <c r="A25" s="48" t="s">
        <v>116</v>
      </c>
      <c r="B25" s="49">
        <v>5000</v>
      </c>
      <c r="C25" s="50">
        <f>+B25*1</f>
        <v>5000</v>
      </c>
      <c r="D25" s="50">
        <v>0</v>
      </c>
      <c r="E25" s="50">
        <f t="shared" si="15"/>
        <v>0</v>
      </c>
      <c r="F25" s="51">
        <f t="shared" si="16"/>
        <v>0</v>
      </c>
      <c r="G25" s="51">
        <f t="shared" si="12"/>
        <v>0</v>
      </c>
      <c r="H25" s="51">
        <f t="shared" si="17"/>
        <v>0</v>
      </c>
      <c r="I25" s="51">
        <f t="shared" si="13"/>
        <v>0</v>
      </c>
      <c r="J25" s="51">
        <f t="shared" si="18"/>
        <v>0</v>
      </c>
      <c r="K25" s="51">
        <f t="shared" si="14"/>
        <v>0</v>
      </c>
      <c r="L25" s="52">
        <f t="shared" si="9"/>
        <v>5000</v>
      </c>
    </row>
    <row r="26" spans="1:12">
      <c r="A26" s="48" t="s">
        <v>117</v>
      </c>
      <c r="B26" s="49">
        <v>500</v>
      </c>
      <c r="C26" s="50">
        <f t="shared" si="19"/>
        <v>6000</v>
      </c>
      <c r="D26" s="50">
        <f t="shared" si="20"/>
        <v>500</v>
      </c>
      <c r="E26" s="50">
        <f t="shared" si="15"/>
        <v>6000</v>
      </c>
      <c r="F26" s="51">
        <f t="shared" si="16"/>
        <v>500</v>
      </c>
      <c r="G26" s="51">
        <f t="shared" si="12"/>
        <v>6000</v>
      </c>
      <c r="H26" s="51">
        <f t="shared" si="17"/>
        <v>500</v>
      </c>
      <c r="I26" s="51">
        <f t="shared" si="13"/>
        <v>6000</v>
      </c>
      <c r="J26" s="51">
        <f t="shared" si="18"/>
        <v>500</v>
      </c>
      <c r="K26" s="51">
        <f t="shared" si="14"/>
        <v>6000</v>
      </c>
      <c r="L26" s="52">
        <f t="shared" si="9"/>
        <v>30000</v>
      </c>
    </row>
    <row r="27" spans="1:12">
      <c r="A27" s="48" t="s">
        <v>118</v>
      </c>
      <c r="B27" s="49">
        <v>450</v>
      </c>
      <c r="C27" s="50">
        <f>+(B27*11)+25000</f>
        <v>29950</v>
      </c>
      <c r="D27" s="50">
        <f t="shared" si="20"/>
        <v>450</v>
      </c>
      <c r="E27" s="50">
        <f t="shared" si="15"/>
        <v>5400</v>
      </c>
      <c r="F27" s="51">
        <f t="shared" si="16"/>
        <v>450</v>
      </c>
      <c r="G27" s="51">
        <f t="shared" si="12"/>
        <v>5400</v>
      </c>
      <c r="H27" s="51">
        <f t="shared" si="17"/>
        <v>450</v>
      </c>
      <c r="I27" s="51">
        <f t="shared" si="13"/>
        <v>5400</v>
      </c>
      <c r="J27" s="51">
        <f t="shared" si="18"/>
        <v>450</v>
      </c>
      <c r="K27" s="51">
        <f t="shared" si="14"/>
        <v>5400</v>
      </c>
      <c r="L27" s="52">
        <f t="shared" si="9"/>
        <v>51550</v>
      </c>
    </row>
    <row r="28" spans="1:12" ht="12" thickBot="1">
      <c r="A28" s="56" t="s">
        <v>119</v>
      </c>
      <c r="B28" s="57">
        <f t="shared" ref="B28:K28" si="21">SUM(B16:B27)</f>
        <v>120134</v>
      </c>
      <c r="C28" s="57">
        <f t="shared" si="21"/>
        <v>426158</v>
      </c>
      <c r="D28" s="57">
        <f t="shared" si="21"/>
        <v>11934</v>
      </c>
      <c r="E28" s="57">
        <f t="shared" si="21"/>
        <v>143208</v>
      </c>
      <c r="F28" s="57">
        <f t="shared" si="21"/>
        <v>11934</v>
      </c>
      <c r="G28" s="57">
        <f t="shared" si="21"/>
        <v>143208</v>
      </c>
      <c r="H28" s="57">
        <f t="shared" si="21"/>
        <v>11934</v>
      </c>
      <c r="I28" s="57">
        <f t="shared" si="21"/>
        <v>143208</v>
      </c>
      <c r="J28" s="57">
        <f t="shared" si="21"/>
        <v>11934</v>
      </c>
      <c r="K28" s="57">
        <f t="shared" si="21"/>
        <v>143208</v>
      </c>
      <c r="L28" s="58">
        <f t="shared" si="9"/>
        <v>998990</v>
      </c>
    </row>
    <row r="29" spans="1:12">
      <c r="A29" s="59" t="s">
        <v>120</v>
      </c>
      <c r="B29" s="60"/>
      <c r="C29" s="60"/>
      <c r="D29" s="60"/>
      <c r="E29" s="60"/>
      <c r="F29" s="60">
        <v>0</v>
      </c>
      <c r="G29" s="61">
        <v>100000</v>
      </c>
      <c r="H29" s="60"/>
      <c r="I29" s="60"/>
      <c r="J29" s="60"/>
      <c r="K29" s="61">
        <v>150000</v>
      </c>
      <c r="L29" s="62">
        <f t="shared" si="9"/>
        <v>250000</v>
      </c>
    </row>
    <row r="30" spans="1:12">
      <c r="A30" s="59" t="s">
        <v>121</v>
      </c>
      <c r="B30" s="60"/>
      <c r="C30" s="61">
        <v>50000</v>
      </c>
      <c r="D30" s="60"/>
      <c r="E30" s="61">
        <f>+C30</f>
        <v>50000</v>
      </c>
      <c r="F30" s="60"/>
      <c r="G30" s="61">
        <f>+E30</f>
        <v>50000</v>
      </c>
      <c r="H30" s="60"/>
      <c r="I30" s="61">
        <f>+G30</f>
        <v>50000</v>
      </c>
      <c r="J30" s="60"/>
      <c r="K30" s="61">
        <f>+I30</f>
        <v>50000</v>
      </c>
      <c r="L30" s="62">
        <f t="shared" si="9"/>
        <v>250000</v>
      </c>
    </row>
    <row r="31" spans="1:12" ht="12" thickBot="1">
      <c r="A31" s="63" t="s">
        <v>9</v>
      </c>
      <c r="B31" s="64"/>
      <c r="C31" s="64">
        <f>+C15+C28+C29+C30</f>
        <v>869758</v>
      </c>
      <c r="D31" s="64"/>
      <c r="E31" s="64">
        <f>+E15+E28+E29+E30</f>
        <v>586808</v>
      </c>
      <c r="F31" s="64"/>
      <c r="G31" s="64">
        <f>+G15+G28+G29+G30</f>
        <v>686808</v>
      </c>
      <c r="H31" s="64"/>
      <c r="I31" s="64">
        <f>+I15+I28+I29+I30</f>
        <v>586808</v>
      </c>
      <c r="J31" s="64"/>
      <c r="K31" s="64">
        <f>+K15+K28+K29+K30</f>
        <v>736808</v>
      </c>
      <c r="L31" s="65">
        <f t="shared" si="9"/>
        <v>3466990</v>
      </c>
    </row>
    <row r="33" spans="1:12">
      <c r="A33" s="144" t="s">
        <v>122</v>
      </c>
      <c r="B33" s="144" t="s">
        <v>21</v>
      </c>
      <c r="C33" s="144" t="s">
        <v>123</v>
      </c>
      <c r="D33" s="144" t="s">
        <v>17</v>
      </c>
    </row>
    <row r="34" spans="1:12">
      <c r="A34" s="140" t="s">
        <v>124</v>
      </c>
      <c r="B34" s="140">
        <v>1</v>
      </c>
      <c r="C34" s="141">
        <v>3000000</v>
      </c>
      <c r="D34" s="141">
        <f>+C34*B34</f>
        <v>3000000</v>
      </c>
      <c r="L34" s="66"/>
    </row>
    <row r="35" spans="1:12">
      <c r="A35" s="140" t="s">
        <v>125</v>
      </c>
      <c r="B35" s="140">
        <v>5</v>
      </c>
      <c r="C35" s="141">
        <v>50000</v>
      </c>
      <c r="D35" s="141">
        <f>+C35*B35</f>
        <v>250000</v>
      </c>
      <c r="L35" s="66"/>
    </row>
    <row r="36" spans="1:12">
      <c r="A36" s="140" t="s">
        <v>126</v>
      </c>
      <c r="B36" s="140">
        <v>1</v>
      </c>
      <c r="C36" s="141">
        <v>100000</v>
      </c>
      <c r="D36" s="141">
        <f>+C36*B36</f>
        <v>100000</v>
      </c>
    </row>
    <row r="37" spans="1:12">
      <c r="A37" s="140" t="s">
        <v>127</v>
      </c>
      <c r="B37" s="140">
        <v>1</v>
      </c>
      <c r="C37" s="141">
        <v>150000</v>
      </c>
      <c r="D37" s="141">
        <f>+C37*B37</f>
        <v>150000</v>
      </c>
    </row>
    <row r="38" spans="1:12">
      <c r="A38" s="142" t="s">
        <v>9</v>
      </c>
      <c r="B38" s="142"/>
      <c r="C38" s="142"/>
      <c r="D38" s="143">
        <f>SUM(D34:D37)</f>
        <v>3500000</v>
      </c>
    </row>
  </sheetData>
  <mergeCells count="6">
    <mergeCell ref="A3:K3"/>
    <mergeCell ref="B4:C4"/>
    <mergeCell ref="D4:E4"/>
    <mergeCell ref="F4:G4"/>
    <mergeCell ref="H4:I4"/>
    <mergeCell ref="J4:K4"/>
  </mergeCells>
  <pageMargins left="0.7" right="0.7" top="0.75" bottom="0.75" header="0.3" footer="0.3"/>
  <ignoredErrors>
    <ignoredError sqref="D6:J27 C15:C25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1395-4100-4BFE-A1F7-0BA4E0A252B4}">
  <dimension ref="A1:AI237"/>
  <sheetViews>
    <sheetView topLeftCell="A167" zoomScale="90" zoomScaleNormal="90" workbookViewId="0">
      <selection activeCell="F235" sqref="F235"/>
    </sheetView>
  </sheetViews>
  <sheetFormatPr defaultColWidth="9.140625" defaultRowHeight="15" outlineLevelRow="3"/>
  <cols>
    <col min="1" max="1" width="102.140625" customWidth="1"/>
    <col min="2" max="2" width="8.85546875" style="72" hidden="1" customWidth="1"/>
    <col min="3" max="3" width="16" style="72" hidden="1" customWidth="1"/>
    <col min="4" max="4" width="13.85546875" style="73" hidden="1" customWidth="1"/>
    <col min="5" max="5" width="13.85546875" style="72" bestFit="1" customWidth="1"/>
    <col min="6" max="6" width="15" bestFit="1" customWidth="1"/>
    <col min="7" max="8" width="15" hidden="1" customWidth="1"/>
    <col min="9" max="9" width="14.28515625" hidden="1" customWidth="1"/>
    <col min="10" max="10" width="14.140625" style="74" hidden="1" customWidth="1"/>
    <col min="11" max="11" width="5.85546875" style="293" customWidth="1"/>
    <col min="12" max="12" width="12.5703125" style="163" hidden="1" customWidth="1"/>
    <col min="13" max="13" width="14" style="163" hidden="1" customWidth="1"/>
    <col min="14" max="14" width="14.28515625" customWidth="1"/>
    <col min="15" max="15" width="16" customWidth="1"/>
    <col min="16" max="16" width="10.140625" style="72" customWidth="1"/>
    <col min="17" max="17" width="5.5703125" customWidth="1"/>
    <col min="18" max="18" width="16" customWidth="1"/>
    <col min="19" max="19" width="17.42578125" customWidth="1"/>
  </cols>
  <sheetData>
    <row r="1" spans="1:35" s="67" customFormat="1" ht="18.75">
      <c r="A1" s="67" t="s">
        <v>128</v>
      </c>
      <c r="B1" s="68"/>
      <c r="C1" s="68"/>
      <c r="D1" s="69"/>
      <c r="E1" s="68"/>
      <c r="F1" s="70">
        <v>44699</v>
      </c>
      <c r="G1" s="5"/>
      <c r="H1" s="5"/>
      <c r="I1" s="5"/>
      <c r="J1" s="71"/>
      <c r="K1" s="290"/>
      <c r="L1" s="162"/>
      <c r="M1" s="162"/>
      <c r="P1" s="68"/>
    </row>
    <row r="2" spans="1:35" ht="5.45" customHeight="1">
      <c r="G2" s="5"/>
      <c r="H2" s="5"/>
      <c r="I2" s="5"/>
      <c r="J2" s="71"/>
      <c r="K2" s="290"/>
    </row>
    <row r="3" spans="1:35" s="195" customFormat="1" ht="47.25" customHeight="1">
      <c r="B3" s="164"/>
      <c r="C3" s="164"/>
      <c r="D3" s="562" t="s">
        <v>129</v>
      </c>
      <c r="E3" s="562"/>
      <c r="F3" s="562"/>
      <c r="G3" s="562"/>
      <c r="H3" s="562"/>
      <c r="I3" s="562"/>
      <c r="J3" s="562"/>
      <c r="K3" s="291"/>
      <c r="L3" s="164"/>
      <c r="M3" s="164"/>
      <c r="N3" s="164" t="s">
        <v>130</v>
      </c>
      <c r="O3" s="164" t="s">
        <v>131</v>
      </c>
      <c r="P3" s="292" t="s">
        <v>132</v>
      </c>
    </row>
    <row r="4" spans="1:35" ht="4.9000000000000004" customHeight="1"/>
    <row r="5" spans="1:35" s="5" customFormat="1">
      <c r="A5" s="243" t="s">
        <v>133</v>
      </c>
      <c r="B5" s="243" t="s">
        <v>20</v>
      </c>
      <c r="C5" s="243" t="s">
        <v>21</v>
      </c>
      <c r="D5" s="75" t="s">
        <v>134</v>
      </c>
      <c r="E5" s="566" t="s">
        <v>135</v>
      </c>
      <c r="F5" s="566"/>
      <c r="G5" s="76" t="s">
        <v>136</v>
      </c>
      <c r="H5" s="76" t="s">
        <v>137</v>
      </c>
      <c r="I5" s="76" t="s">
        <v>138</v>
      </c>
      <c r="J5" s="77" t="s">
        <v>139</v>
      </c>
      <c r="K5" s="294"/>
      <c r="L5" s="164" t="s">
        <v>140</v>
      </c>
      <c r="M5" s="164" t="s">
        <v>6</v>
      </c>
      <c r="P5" s="239"/>
    </row>
    <row r="6" spans="1:35" s="82" customFormat="1" ht="15.75" thickBot="1">
      <c r="A6" s="295" t="s">
        <v>141</v>
      </c>
      <c r="B6" s="296"/>
      <c r="C6" s="296"/>
      <c r="D6" s="297"/>
      <c r="E6" s="295"/>
      <c r="F6" s="298">
        <f>SUM(E7:E9)</f>
        <v>4665083.6342857145</v>
      </c>
      <c r="G6" s="299">
        <f>+SUMPRODUCT($E7:$E9,G7:G9)</f>
        <v>1963987.6354285716</v>
      </c>
      <c r="H6" s="299">
        <f t="shared" ref="H6:J6" si="0">+SUMPRODUCT($E7:$E9,H7:H9)</f>
        <v>744862.54514285713</v>
      </c>
      <c r="I6" s="299">
        <f t="shared" si="0"/>
        <v>1529725.0902857143</v>
      </c>
      <c r="J6" s="299">
        <f t="shared" si="0"/>
        <v>426508.36342857149</v>
      </c>
      <c r="K6" s="300"/>
      <c r="L6" s="301">
        <v>2</v>
      </c>
      <c r="M6" s="301" t="s">
        <v>142</v>
      </c>
      <c r="N6" s="302">
        <f>+F6</f>
        <v>4665083.6342857145</v>
      </c>
      <c r="O6" s="302">
        <f>+N6-F6</f>
        <v>0</v>
      </c>
      <c r="P6" s="239">
        <v>2.1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5.75" outlineLevel="1" thickBot="1">
      <c r="A7" s="83" t="s">
        <v>143</v>
      </c>
      <c r="B7" s="84" t="s">
        <v>144</v>
      </c>
      <c r="C7" s="84">
        <v>6</v>
      </c>
      <c r="D7" s="85">
        <v>417000</v>
      </c>
      <c r="E7" s="303">
        <f>+C7*D7</f>
        <v>2502000</v>
      </c>
      <c r="F7" s="304"/>
      <c r="G7" s="305">
        <v>0.3</v>
      </c>
      <c r="H7" s="87">
        <v>0.2</v>
      </c>
      <c r="I7" s="87">
        <v>0.4</v>
      </c>
      <c r="J7" s="87">
        <v>0.1</v>
      </c>
      <c r="K7" s="306"/>
    </row>
    <row r="8" spans="1:35" ht="15.75" outlineLevel="1" thickBot="1">
      <c r="A8" s="88" t="s">
        <v>145</v>
      </c>
      <c r="B8" s="84" t="s">
        <v>144</v>
      </c>
      <c r="C8" s="84">
        <v>1</v>
      </c>
      <c r="D8" s="85">
        <v>800000</v>
      </c>
      <c r="E8" s="303">
        <f>+C8*D8</f>
        <v>800000</v>
      </c>
      <c r="F8" s="307"/>
      <c r="G8" s="305">
        <v>0.75</v>
      </c>
      <c r="H8" s="87">
        <v>0.05</v>
      </c>
      <c r="I8" s="87">
        <v>0.15</v>
      </c>
      <c r="J8" s="87">
        <v>0.05</v>
      </c>
      <c r="K8" s="306"/>
    </row>
    <row r="9" spans="1:35" outlineLevel="1">
      <c r="A9" s="89" t="s">
        <v>146</v>
      </c>
      <c r="B9" s="84"/>
      <c r="C9" s="84"/>
      <c r="D9" s="85"/>
      <c r="E9" s="308">
        <f>SUM(E10:E11)</f>
        <v>1363083.6342857145</v>
      </c>
      <c r="F9" s="309"/>
      <c r="G9" s="305">
        <v>0.45</v>
      </c>
      <c r="H9" s="87">
        <v>0.15</v>
      </c>
      <c r="I9" s="87">
        <v>0.3</v>
      </c>
      <c r="J9" s="87">
        <v>0.1</v>
      </c>
      <c r="K9" s="306"/>
    </row>
    <row r="10" spans="1:35" outlineLevel="1">
      <c r="A10" s="90" t="s">
        <v>147</v>
      </c>
      <c r="B10" s="84"/>
      <c r="C10" s="84"/>
      <c r="D10" s="85"/>
      <c r="E10" s="85">
        <v>701087</v>
      </c>
      <c r="F10" s="309"/>
      <c r="G10" s="87">
        <v>0.45</v>
      </c>
      <c r="H10" s="87">
        <v>0.15</v>
      </c>
      <c r="I10" s="87">
        <v>0.3</v>
      </c>
      <c r="J10" s="87">
        <v>0.1</v>
      </c>
      <c r="K10" s="306"/>
    </row>
    <row r="11" spans="1:35" outlineLevel="1">
      <c r="A11" s="90" t="s">
        <v>148</v>
      </c>
      <c r="B11" s="84"/>
      <c r="C11" s="84"/>
      <c r="D11" s="85"/>
      <c r="E11" s="85">
        <v>661996.63428571436</v>
      </c>
      <c r="F11" s="86"/>
      <c r="G11" s="87">
        <v>0.45</v>
      </c>
      <c r="H11" s="87">
        <v>0.15</v>
      </c>
      <c r="I11" s="87">
        <v>0.3</v>
      </c>
      <c r="J11" s="87">
        <v>0.1</v>
      </c>
      <c r="K11" s="306"/>
    </row>
    <row r="12" spans="1:35" s="82" customFormat="1">
      <c r="A12" s="295" t="s">
        <v>149</v>
      </c>
      <c r="B12" s="296"/>
      <c r="C12" s="296"/>
      <c r="D12" s="297"/>
      <c r="E12" s="295"/>
      <c r="F12" s="298">
        <f>SUM(E13:E16)</f>
        <v>1000000</v>
      </c>
      <c r="G12" s="299">
        <f>+G13*$E13+G14*$E14+G15*$E15+G16*$E16</f>
        <v>380000</v>
      </c>
      <c r="H12" s="299">
        <f t="shared" ref="H12:J12" si="1">+H13*$E13+H14*$E14+H15*$E15+H16*$E16</f>
        <v>140000</v>
      </c>
      <c r="I12" s="299">
        <f t="shared" si="1"/>
        <v>220000</v>
      </c>
      <c r="J12" s="299">
        <f t="shared" si="1"/>
        <v>260000</v>
      </c>
      <c r="K12" s="300"/>
      <c r="L12" s="301">
        <v>2</v>
      </c>
      <c r="M12" s="301" t="s">
        <v>150</v>
      </c>
      <c r="N12" s="302">
        <f>+N13+N14+N15+N16</f>
        <v>800000</v>
      </c>
      <c r="O12" s="302">
        <f>+N12-F12</f>
        <v>-200000</v>
      </c>
      <c r="P12" s="239">
        <v>2.7</v>
      </c>
      <c r="Q12" s="5"/>
      <c r="R12" s="153">
        <f>SUM(R6:R11)</f>
        <v>0</v>
      </c>
      <c r="S12" s="153">
        <f>SUM(S6:S11)</f>
        <v>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outlineLevel="1">
      <c r="A13" s="90" t="s">
        <v>151</v>
      </c>
      <c r="B13" s="84" t="s">
        <v>17</v>
      </c>
      <c r="C13" s="84">
        <v>1</v>
      </c>
      <c r="D13" s="85">
        <v>200000</v>
      </c>
      <c r="E13" s="303">
        <f>+C13*D13</f>
        <v>200000</v>
      </c>
      <c r="F13" s="304"/>
      <c r="G13" s="305">
        <v>0.3</v>
      </c>
      <c r="H13" s="87">
        <v>0.2</v>
      </c>
      <c r="I13" s="87">
        <v>0.4</v>
      </c>
      <c r="J13" s="87">
        <v>0.1</v>
      </c>
      <c r="K13" s="306"/>
      <c r="N13" s="122">
        <f>+E13</f>
        <v>200000</v>
      </c>
    </row>
    <row r="14" spans="1:35" outlineLevel="1">
      <c r="A14" s="90" t="s">
        <v>152</v>
      </c>
      <c r="B14" s="84" t="s">
        <v>17</v>
      </c>
      <c r="C14" s="84">
        <v>1</v>
      </c>
      <c r="D14" s="85">
        <v>100000</v>
      </c>
      <c r="E14" s="303">
        <f>+C14*D14</f>
        <v>100000</v>
      </c>
      <c r="F14" s="307"/>
      <c r="G14" s="310"/>
      <c r="H14" s="91"/>
      <c r="I14" s="87">
        <v>0.9</v>
      </c>
      <c r="J14" s="87">
        <v>0.1</v>
      </c>
      <c r="K14" s="306"/>
      <c r="N14" s="122">
        <f>+E14</f>
        <v>100000</v>
      </c>
    </row>
    <row r="15" spans="1:35" s="24" customFormat="1" outlineLevel="1">
      <c r="A15" s="311" t="s">
        <v>153</v>
      </c>
      <c r="B15" s="112" t="s">
        <v>17</v>
      </c>
      <c r="C15" s="112">
        <v>1</v>
      </c>
      <c r="D15" s="113">
        <v>500000</v>
      </c>
      <c r="E15" s="312">
        <f>+C15*D15</f>
        <v>500000</v>
      </c>
      <c r="F15" s="313"/>
      <c r="G15" s="314">
        <v>0.6</v>
      </c>
      <c r="H15" s="315">
        <v>0.2</v>
      </c>
      <c r="I15" s="315">
        <v>0.1</v>
      </c>
      <c r="J15" s="315">
        <v>0.1</v>
      </c>
      <c r="K15" s="316"/>
      <c r="L15" s="168"/>
      <c r="M15" s="168"/>
      <c r="N15" s="317">
        <v>400000</v>
      </c>
      <c r="O15" s="317">
        <f>+N15-E15</f>
        <v>-100000</v>
      </c>
      <c r="P15" s="318"/>
    </row>
    <row r="16" spans="1:35" s="24" customFormat="1" outlineLevel="1">
      <c r="A16" s="311" t="s">
        <v>154</v>
      </c>
      <c r="B16" s="112" t="s">
        <v>17</v>
      </c>
      <c r="C16" s="112">
        <v>1</v>
      </c>
      <c r="D16" s="113">
        <v>100000</v>
      </c>
      <c r="E16" s="312">
        <v>200000</v>
      </c>
      <c r="F16" s="319"/>
      <c r="G16" s="314">
        <v>0.1</v>
      </c>
      <c r="H16" s="320"/>
      <c r="I16" s="320"/>
      <c r="J16" s="315">
        <v>0.9</v>
      </c>
      <c r="K16" s="316"/>
      <c r="L16" s="168"/>
      <c r="M16" s="168"/>
      <c r="N16" s="317">
        <v>100000</v>
      </c>
      <c r="O16" s="317">
        <f>+N16-E16</f>
        <v>-100000</v>
      </c>
      <c r="P16" s="318"/>
    </row>
    <row r="17" spans="1:35" s="82" customFormat="1">
      <c r="A17" s="321" t="s">
        <v>155</v>
      </c>
      <c r="B17" s="296"/>
      <c r="C17" s="296"/>
      <c r="D17" s="297"/>
      <c r="E17" s="295"/>
      <c r="F17" s="322">
        <f>+E18+E37</f>
        <v>6148000</v>
      </c>
      <c r="G17" s="299">
        <f>+G18+G37</f>
        <v>1790460</v>
      </c>
      <c r="H17" s="299">
        <f t="shared" ref="H17:J17" si="2">+H18+H37</f>
        <v>2183100</v>
      </c>
      <c r="I17" s="299">
        <f t="shared" si="2"/>
        <v>1559640</v>
      </c>
      <c r="J17" s="299">
        <f t="shared" si="2"/>
        <v>614800</v>
      </c>
      <c r="K17" s="300"/>
      <c r="L17" s="301">
        <v>2</v>
      </c>
      <c r="M17" s="301" t="s">
        <v>142</v>
      </c>
      <c r="N17" s="302">
        <f>+F17</f>
        <v>6148000</v>
      </c>
      <c r="O17" s="302">
        <f>+N17-F17</f>
        <v>0</v>
      </c>
      <c r="P17" s="239">
        <v>2.2000000000000002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 s="5" customFormat="1" hidden="1" outlineLevel="1">
      <c r="A18" s="93" t="s">
        <v>156</v>
      </c>
      <c r="B18" s="94"/>
      <c r="C18" s="94"/>
      <c r="D18" s="95"/>
      <c r="E18" s="323">
        <f>+E19+E27+E35+E29</f>
        <v>5513000</v>
      </c>
      <c r="F18" s="324"/>
      <c r="G18" s="325">
        <f>+G19+G27+G29+G35</f>
        <v>1517460</v>
      </c>
      <c r="H18" s="96">
        <f t="shared" ref="H18:J18" si="3">+H19+H27+H29+H35</f>
        <v>2027800</v>
      </c>
      <c r="I18" s="96">
        <f t="shared" si="3"/>
        <v>1416440</v>
      </c>
      <c r="J18" s="96">
        <f t="shared" si="3"/>
        <v>551300</v>
      </c>
      <c r="K18" s="326"/>
      <c r="L18" s="164"/>
      <c r="M18" s="164"/>
      <c r="P18" s="239"/>
    </row>
    <row r="19" spans="1:35" s="5" customFormat="1" hidden="1" outlineLevel="1">
      <c r="A19" s="97" t="s">
        <v>157</v>
      </c>
      <c r="B19" s="98"/>
      <c r="C19" s="98"/>
      <c r="D19" s="99"/>
      <c r="E19" s="323">
        <f>SUM(E20:E22)</f>
        <v>2890000</v>
      </c>
      <c r="F19" s="327"/>
      <c r="G19" s="328">
        <f>+$E19*G20</f>
        <v>1156000</v>
      </c>
      <c r="H19" s="100">
        <f t="shared" ref="H19:J19" si="4">+$E19*H20</f>
        <v>780300</v>
      </c>
      <c r="I19" s="100">
        <f t="shared" si="4"/>
        <v>664700</v>
      </c>
      <c r="J19" s="100">
        <f t="shared" si="4"/>
        <v>289000</v>
      </c>
      <c r="K19" s="300"/>
      <c r="L19" s="164"/>
      <c r="M19" s="164"/>
      <c r="P19" s="239"/>
    </row>
    <row r="20" spans="1:35" hidden="1" outlineLevel="2">
      <c r="A20" s="90" t="s">
        <v>158</v>
      </c>
      <c r="B20" s="84" t="s">
        <v>159</v>
      </c>
      <c r="C20" s="84">
        <v>2500</v>
      </c>
      <c r="D20" s="101">
        <v>800</v>
      </c>
      <c r="E20" s="329">
        <f>+C20*D20</f>
        <v>2000000</v>
      </c>
      <c r="F20" s="567"/>
      <c r="G20" s="568">
        <v>0.4</v>
      </c>
      <c r="H20" s="569">
        <v>0.27</v>
      </c>
      <c r="I20" s="569">
        <v>0.23</v>
      </c>
      <c r="J20" s="569">
        <v>0.1</v>
      </c>
      <c r="K20" s="330"/>
    </row>
    <row r="21" spans="1:35" hidden="1" outlineLevel="2">
      <c r="A21" s="90" t="s">
        <v>160</v>
      </c>
      <c r="B21" s="84" t="s">
        <v>144</v>
      </c>
      <c r="C21" s="84">
        <v>4</v>
      </c>
      <c r="D21" s="101">
        <v>30000</v>
      </c>
      <c r="E21" s="329">
        <f>+C21*D21</f>
        <v>120000</v>
      </c>
      <c r="F21" s="567"/>
      <c r="G21" s="568"/>
      <c r="H21" s="569"/>
      <c r="I21" s="569"/>
      <c r="J21" s="569"/>
      <c r="K21" s="330"/>
    </row>
    <row r="22" spans="1:35" hidden="1" outlineLevel="2">
      <c r="A22" s="90" t="s">
        <v>161</v>
      </c>
      <c r="B22" s="84" t="s">
        <v>159</v>
      </c>
      <c r="C22" s="84"/>
      <c r="D22" s="101"/>
      <c r="E22" s="329">
        <f>+SUMPRODUCT(C23:C26,D23:D26)</f>
        <v>770000</v>
      </c>
      <c r="F22" s="567"/>
      <c r="G22" s="568"/>
      <c r="H22" s="569"/>
      <c r="I22" s="569"/>
      <c r="J22" s="569"/>
      <c r="K22" s="330"/>
    </row>
    <row r="23" spans="1:35" hidden="1" outlineLevel="3">
      <c r="A23" s="102" t="s">
        <v>162</v>
      </c>
      <c r="B23" s="84" t="s">
        <v>159</v>
      </c>
      <c r="C23" s="84">
        <v>400</v>
      </c>
      <c r="D23" s="101">
        <v>800</v>
      </c>
      <c r="E23" s="570"/>
      <c r="F23" s="567"/>
      <c r="G23" s="568"/>
      <c r="H23" s="569"/>
      <c r="I23" s="569"/>
      <c r="J23" s="569"/>
      <c r="K23" s="330"/>
    </row>
    <row r="24" spans="1:35" hidden="1" outlineLevel="3">
      <c r="A24" s="102" t="s">
        <v>163</v>
      </c>
      <c r="B24" s="84" t="s">
        <v>159</v>
      </c>
      <c r="C24" s="84">
        <v>500</v>
      </c>
      <c r="D24" s="101">
        <v>500</v>
      </c>
      <c r="E24" s="571"/>
      <c r="F24" s="567"/>
      <c r="G24" s="568"/>
      <c r="H24" s="569"/>
      <c r="I24" s="569"/>
      <c r="J24" s="569"/>
      <c r="K24" s="330"/>
    </row>
    <row r="25" spans="1:35" hidden="1" outlineLevel="3">
      <c r="A25" s="102" t="s">
        <v>164</v>
      </c>
      <c r="B25" s="84" t="s">
        <v>159</v>
      </c>
      <c r="C25" s="84">
        <v>600</v>
      </c>
      <c r="D25" s="101">
        <v>300</v>
      </c>
      <c r="E25" s="571"/>
      <c r="F25" s="567"/>
      <c r="G25" s="568"/>
      <c r="H25" s="569"/>
      <c r="I25" s="569"/>
      <c r="J25" s="569"/>
      <c r="K25" s="330"/>
    </row>
    <row r="26" spans="1:35" hidden="1" outlineLevel="3">
      <c r="A26" s="102" t="s">
        <v>165</v>
      </c>
      <c r="B26" s="84" t="s">
        <v>159</v>
      </c>
      <c r="C26" s="84">
        <v>100</v>
      </c>
      <c r="D26" s="101">
        <v>200</v>
      </c>
      <c r="E26" s="572"/>
      <c r="F26" s="567"/>
      <c r="G26" s="568"/>
      <c r="H26" s="569"/>
      <c r="I26" s="569"/>
      <c r="J26" s="569"/>
      <c r="K26" s="330"/>
    </row>
    <row r="27" spans="1:35" hidden="1" outlineLevel="2">
      <c r="A27" s="591" t="s">
        <v>166</v>
      </c>
      <c r="B27" s="593" t="s">
        <v>17</v>
      </c>
      <c r="C27" s="593">
        <v>1</v>
      </c>
      <c r="D27" s="593">
        <f>1652500*1.2+200000</f>
        <v>2183000</v>
      </c>
      <c r="E27" s="595">
        <f>+C27*D27</f>
        <v>2183000</v>
      </c>
      <c r="F27" s="567"/>
      <c r="G27" s="328">
        <f>+$E27*G28</f>
        <v>261960</v>
      </c>
      <c r="H27" s="100">
        <f t="shared" ref="H27:J27" si="5">+$E27*H28</f>
        <v>1091500</v>
      </c>
      <c r="I27" s="100">
        <f t="shared" si="5"/>
        <v>611240</v>
      </c>
      <c r="J27" s="100">
        <f t="shared" si="5"/>
        <v>218300</v>
      </c>
      <c r="K27" s="300"/>
    </row>
    <row r="28" spans="1:35" hidden="1" outlineLevel="2">
      <c r="A28" s="592"/>
      <c r="B28" s="594"/>
      <c r="C28" s="594"/>
      <c r="D28" s="594"/>
      <c r="E28" s="596"/>
      <c r="F28" s="567"/>
      <c r="G28" s="331">
        <v>0.12</v>
      </c>
      <c r="H28" s="103">
        <v>0.5</v>
      </c>
      <c r="I28" s="103">
        <v>0.28000000000000003</v>
      </c>
      <c r="J28" s="103">
        <v>0.1</v>
      </c>
      <c r="K28" s="332"/>
    </row>
    <row r="29" spans="1:35" hidden="1" outlineLevel="2">
      <c r="A29" s="97" t="s">
        <v>167</v>
      </c>
      <c r="B29" s="84" t="s">
        <v>144</v>
      </c>
      <c r="C29" s="84"/>
      <c r="D29" s="85"/>
      <c r="E29" s="333">
        <f>+SUMPRODUCT(C30:C34,D30:D34)</f>
        <v>90000</v>
      </c>
      <c r="F29" s="307"/>
      <c r="G29" s="328">
        <f>+$E29*G30</f>
        <v>54000</v>
      </c>
      <c r="H29" s="100">
        <f t="shared" ref="H29:J29" si="6">+$E29*H30</f>
        <v>9000</v>
      </c>
      <c r="I29" s="100">
        <f t="shared" si="6"/>
        <v>18000</v>
      </c>
      <c r="J29" s="100">
        <f t="shared" si="6"/>
        <v>9000</v>
      </c>
      <c r="K29" s="300"/>
    </row>
    <row r="30" spans="1:35" hidden="1" outlineLevel="3">
      <c r="A30" s="102" t="s">
        <v>168</v>
      </c>
      <c r="B30" s="84" t="s">
        <v>144</v>
      </c>
      <c r="C30" s="84">
        <v>10</v>
      </c>
      <c r="D30" s="85">
        <v>5000</v>
      </c>
      <c r="E30" s="579"/>
      <c r="F30" s="597"/>
      <c r="G30" s="576">
        <v>0.6</v>
      </c>
      <c r="H30" s="573">
        <v>0.1</v>
      </c>
      <c r="I30" s="573">
        <v>0.2</v>
      </c>
      <c r="J30" s="573">
        <v>0.1</v>
      </c>
      <c r="K30" s="332"/>
    </row>
    <row r="31" spans="1:35" hidden="1" outlineLevel="3">
      <c r="A31" s="102" t="s">
        <v>169</v>
      </c>
      <c r="B31" s="84" t="s">
        <v>144</v>
      </c>
      <c r="C31" s="84">
        <v>1</v>
      </c>
      <c r="D31" s="85">
        <v>10000</v>
      </c>
      <c r="E31" s="580"/>
      <c r="F31" s="597"/>
      <c r="G31" s="577"/>
      <c r="H31" s="574"/>
      <c r="I31" s="574"/>
      <c r="J31" s="574"/>
      <c r="K31" s="332"/>
    </row>
    <row r="32" spans="1:35" hidden="1" outlineLevel="3">
      <c r="A32" s="102" t="s">
        <v>169</v>
      </c>
      <c r="B32" s="84" t="s">
        <v>144</v>
      </c>
      <c r="C32" s="84">
        <v>1</v>
      </c>
      <c r="D32" s="85">
        <v>10000</v>
      </c>
      <c r="E32" s="580"/>
      <c r="F32" s="597"/>
      <c r="G32" s="577"/>
      <c r="H32" s="574"/>
      <c r="I32" s="574"/>
      <c r="J32" s="574"/>
      <c r="K32" s="332"/>
    </row>
    <row r="33" spans="1:35" hidden="1" outlineLevel="3">
      <c r="A33" s="102" t="s">
        <v>170</v>
      </c>
      <c r="B33" s="84" t="s">
        <v>144</v>
      </c>
      <c r="C33" s="84">
        <v>2</v>
      </c>
      <c r="D33" s="85">
        <v>2500</v>
      </c>
      <c r="E33" s="580"/>
      <c r="F33" s="597"/>
      <c r="G33" s="577"/>
      <c r="H33" s="574"/>
      <c r="I33" s="574"/>
      <c r="J33" s="574"/>
      <c r="K33" s="332"/>
    </row>
    <row r="34" spans="1:35" hidden="1" outlineLevel="3">
      <c r="A34" s="102" t="s">
        <v>171</v>
      </c>
      <c r="B34" s="84" t="s">
        <v>144</v>
      </c>
      <c r="C34" s="84">
        <v>1</v>
      </c>
      <c r="D34" s="85">
        <v>15000</v>
      </c>
      <c r="E34" s="581"/>
      <c r="F34" s="597"/>
      <c r="G34" s="578"/>
      <c r="H34" s="575"/>
      <c r="I34" s="575"/>
      <c r="J34" s="575"/>
      <c r="K34" s="332"/>
    </row>
    <row r="35" spans="1:35" hidden="1" outlineLevel="2">
      <c r="A35" s="591" t="s">
        <v>172</v>
      </c>
      <c r="B35" s="593" t="s">
        <v>17</v>
      </c>
      <c r="C35" s="593">
        <v>1</v>
      </c>
      <c r="D35" s="593">
        <v>350000</v>
      </c>
      <c r="E35" s="595">
        <f>+C35*D35</f>
        <v>350000</v>
      </c>
      <c r="F35" s="567"/>
      <c r="G35" s="328">
        <f>+$E35*G36</f>
        <v>45500</v>
      </c>
      <c r="H35" s="100">
        <f t="shared" ref="H35:J35" si="7">+$E35*H36</f>
        <v>147000</v>
      </c>
      <c r="I35" s="100">
        <f t="shared" si="7"/>
        <v>122499.99999999999</v>
      </c>
      <c r="J35" s="100">
        <f t="shared" si="7"/>
        <v>35000</v>
      </c>
      <c r="K35" s="300"/>
    </row>
    <row r="36" spans="1:35" hidden="1" outlineLevel="2">
      <c r="A36" s="592"/>
      <c r="B36" s="594"/>
      <c r="C36" s="594"/>
      <c r="D36" s="594"/>
      <c r="E36" s="596"/>
      <c r="F36" s="567"/>
      <c r="G36" s="331">
        <v>0.13</v>
      </c>
      <c r="H36" s="103">
        <v>0.42</v>
      </c>
      <c r="I36" s="103">
        <v>0.35</v>
      </c>
      <c r="J36" s="103">
        <v>0.1</v>
      </c>
      <c r="K36" s="332"/>
    </row>
    <row r="37" spans="1:35" s="5" customFormat="1" hidden="1" outlineLevel="1">
      <c r="A37" s="93" t="s">
        <v>173</v>
      </c>
      <c r="B37" s="94"/>
      <c r="C37" s="94"/>
      <c r="D37" s="95"/>
      <c r="E37" s="334">
        <f>SUM(E38:E45)</f>
        <v>635000</v>
      </c>
      <c r="F37" s="335"/>
      <c r="G37" s="325">
        <f>+G38+G41</f>
        <v>273000</v>
      </c>
      <c r="H37" s="96">
        <f t="shared" ref="H37:J37" si="8">+H38+H41</f>
        <v>155300</v>
      </c>
      <c r="I37" s="96">
        <f t="shared" si="8"/>
        <v>143200</v>
      </c>
      <c r="J37" s="96">
        <f t="shared" si="8"/>
        <v>63500</v>
      </c>
      <c r="K37" s="326"/>
      <c r="L37" s="164"/>
      <c r="M37" s="164"/>
      <c r="P37" s="239"/>
    </row>
    <row r="38" spans="1:35" hidden="1" outlineLevel="1">
      <c r="A38" s="90" t="s">
        <v>174</v>
      </c>
      <c r="B38" s="84" t="s">
        <v>159</v>
      </c>
      <c r="C38" s="84"/>
      <c r="D38" s="85"/>
      <c r="E38" s="336">
        <f>+C39*D39+C40*D40</f>
        <v>540000</v>
      </c>
      <c r="F38" s="307"/>
      <c r="G38" s="328">
        <f>+$E38*G39</f>
        <v>216000</v>
      </c>
      <c r="H38" s="100">
        <f t="shared" ref="H38:J38" si="9">+$E38*H39</f>
        <v>145800</v>
      </c>
      <c r="I38" s="100">
        <f t="shared" si="9"/>
        <v>124200</v>
      </c>
      <c r="J38" s="100">
        <f t="shared" si="9"/>
        <v>54000</v>
      </c>
      <c r="K38" s="300"/>
    </row>
    <row r="39" spans="1:35" hidden="1" outlineLevel="2">
      <c r="A39" s="102" t="s">
        <v>175</v>
      </c>
      <c r="B39" s="84" t="s">
        <v>159</v>
      </c>
      <c r="C39" s="84">
        <v>400</v>
      </c>
      <c r="D39" s="101">
        <v>600</v>
      </c>
      <c r="E39" s="589"/>
      <c r="F39" s="574"/>
      <c r="G39" s="576">
        <v>0.4</v>
      </c>
      <c r="H39" s="573">
        <v>0.27</v>
      </c>
      <c r="I39" s="573">
        <v>0.23</v>
      </c>
      <c r="J39" s="573">
        <v>0.1</v>
      </c>
      <c r="K39" s="332"/>
    </row>
    <row r="40" spans="1:35" hidden="1" outlineLevel="2">
      <c r="A40" s="102" t="s">
        <v>176</v>
      </c>
      <c r="B40" s="84" t="s">
        <v>159</v>
      </c>
      <c r="C40" s="84">
        <v>1000</v>
      </c>
      <c r="D40" s="101">
        <v>300</v>
      </c>
      <c r="E40" s="590"/>
      <c r="F40" s="574"/>
      <c r="G40" s="578"/>
      <c r="H40" s="575"/>
      <c r="I40" s="575"/>
      <c r="J40" s="575"/>
      <c r="K40" s="332"/>
    </row>
    <row r="41" spans="1:35" hidden="1" outlineLevel="1">
      <c r="A41" s="90" t="s">
        <v>167</v>
      </c>
      <c r="B41" s="84" t="s">
        <v>17</v>
      </c>
      <c r="C41" s="84"/>
      <c r="D41" s="85"/>
      <c r="E41" s="303">
        <f>+SUMPRODUCT(C42:C45,D42:D45)</f>
        <v>95000</v>
      </c>
      <c r="F41" s="307"/>
      <c r="G41" s="328">
        <f>+$E41*G42</f>
        <v>57000</v>
      </c>
      <c r="H41" s="100">
        <f t="shared" ref="H41:J41" si="10">+$E41*H42</f>
        <v>9500</v>
      </c>
      <c r="I41" s="100">
        <f t="shared" si="10"/>
        <v>19000</v>
      </c>
      <c r="J41" s="100">
        <f t="shared" si="10"/>
        <v>9500</v>
      </c>
      <c r="K41" s="300"/>
    </row>
    <row r="42" spans="1:35" hidden="1" outlineLevel="1">
      <c r="A42" s="102" t="s">
        <v>168</v>
      </c>
      <c r="B42" s="84" t="s">
        <v>144</v>
      </c>
      <c r="C42" s="84">
        <v>10</v>
      </c>
      <c r="D42" s="85">
        <v>7000</v>
      </c>
      <c r="E42" s="579"/>
      <c r="F42" s="567"/>
      <c r="G42" s="583">
        <v>0.6</v>
      </c>
      <c r="H42" s="586">
        <v>0.1</v>
      </c>
      <c r="I42" s="586">
        <v>0.2</v>
      </c>
      <c r="J42" s="586">
        <v>0.1</v>
      </c>
      <c r="K42" s="337"/>
    </row>
    <row r="43" spans="1:35" hidden="1" outlineLevel="1">
      <c r="A43" s="102" t="s">
        <v>177</v>
      </c>
      <c r="B43" s="84" t="s">
        <v>144</v>
      </c>
      <c r="C43" s="84">
        <v>1</v>
      </c>
      <c r="D43" s="85">
        <v>8000</v>
      </c>
      <c r="E43" s="580"/>
      <c r="F43" s="567"/>
      <c r="G43" s="584"/>
      <c r="H43" s="587"/>
      <c r="I43" s="587"/>
      <c r="J43" s="587"/>
      <c r="K43" s="338"/>
    </row>
    <row r="44" spans="1:35" hidden="1" outlineLevel="1">
      <c r="A44" s="102" t="s">
        <v>178</v>
      </c>
      <c r="B44" s="84" t="s">
        <v>144</v>
      </c>
      <c r="C44" s="84">
        <v>1</v>
      </c>
      <c r="D44" s="85">
        <v>2000</v>
      </c>
      <c r="E44" s="580"/>
      <c r="F44" s="567"/>
      <c r="G44" s="584"/>
      <c r="H44" s="587"/>
      <c r="I44" s="587"/>
      <c r="J44" s="587"/>
      <c r="K44" s="338"/>
    </row>
    <row r="45" spans="1:35" hidden="1" outlineLevel="1">
      <c r="A45" s="102" t="s">
        <v>179</v>
      </c>
      <c r="B45" s="84" t="s">
        <v>144</v>
      </c>
      <c r="C45" s="84">
        <v>1</v>
      </c>
      <c r="D45" s="85">
        <v>15000</v>
      </c>
      <c r="E45" s="581"/>
      <c r="F45" s="582"/>
      <c r="G45" s="585"/>
      <c r="H45" s="588"/>
      <c r="I45" s="588"/>
      <c r="J45" s="588"/>
      <c r="K45" s="338"/>
    </row>
    <row r="46" spans="1:35" s="82" customFormat="1" collapsed="1">
      <c r="A46" s="321" t="s">
        <v>180</v>
      </c>
      <c r="B46" s="296"/>
      <c r="C46" s="296"/>
      <c r="D46" s="297"/>
      <c r="E46" s="295"/>
      <c r="F46" s="322">
        <f>+E47+E61</f>
        <v>12298000</v>
      </c>
      <c r="G46" s="299">
        <f>+G47+G61</f>
        <v>3633400</v>
      </c>
      <c r="H46" s="299">
        <f t="shared" ref="H46:J46" si="11">+H47+H61</f>
        <v>4058560</v>
      </c>
      <c r="I46" s="299">
        <f t="shared" si="11"/>
        <v>3204800</v>
      </c>
      <c r="J46" s="299">
        <f t="shared" si="11"/>
        <v>1401240</v>
      </c>
      <c r="K46" s="300"/>
      <c r="L46" s="301">
        <v>2</v>
      </c>
      <c r="M46" s="301" t="s">
        <v>150</v>
      </c>
      <c r="N46" s="302">
        <f>+N47+N61</f>
        <v>11398000</v>
      </c>
      <c r="O46" s="302">
        <f>+N46-F46</f>
        <v>-900000</v>
      </c>
      <c r="P46" s="239">
        <v>2.7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s="5" customFormat="1">
      <c r="A47" s="97" t="s">
        <v>181</v>
      </c>
      <c r="B47" s="98"/>
      <c r="C47" s="98"/>
      <c r="D47" s="99"/>
      <c r="E47" s="339">
        <f>SUM(E48:E60)</f>
        <v>8572000</v>
      </c>
      <c r="F47" s="244"/>
      <c r="G47" s="340">
        <f>+$E47*G48</f>
        <v>2143000</v>
      </c>
      <c r="H47" s="105">
        <f t="shared" ref="H47:J47" si="12">+$E47*H48</f>
        <v>3685960</v>
      </c>
      <c r="I47" s="105">
        <f t="shared" si="12"/>
        <v>1714400</v>
      </c>
      <c r="J47" s="105">
        <f t="shared" si="12"/>
        <v>1028640</v>
      </c>
      <c r="K47" s="341"/>
      <c r="L47" s="164"/>
      <c r="M47" s="164"/>
      <c r="N47" s="342">
        <f>SUM(N48:N60)</f>
        <v>7822000</v>
      </c>
      <c r="P47" s="239"/>
    </row>
    <row r="48" spans="1:35" s="24" customFormat="1" outlineLevel="1">
      <c r="A48" s="311" t="s">
        <v>182</v>
      </c>
      <c r="B48" s="112" t="s">
        <v>183</v>
      </c>
      <c r="C48" s="112">
        <v>5000</v>
      </c>
      <c r="D48" s="113">
        <v>150</v>
      </c>
      <c r="E48" s="312">
        <f t="shared" ref="E48:E58" si="13">+C48*D48</f>
        <v>750000</v>
      </c>
      <c r="F48" s="598"/>
      <c r="G48" s="599">
        <v>0.25</v>
      </c>
      <c r="H48" s="602">
        <v>0.43</v>
      </c>
      <c r="I48" s="602">
        <v>0.2</v>
      </c>
      <c r="J48" s="602">
        <v>0.12</v>
      </c>
      <c r="K48" s="483"/>
      <c r="L48" s="168"/>
      <c r="M48" s="168"/>
      <c r="N48" s="484">
        <v>0</v>
      </c>
      <c r="O48" s="317">
        <f>+N48-E48</f>
        <v>-750000</v>
      </c>
      <c r="P48" s="318"/>
    </row>
    <row r="49" spans="1:16" outlineLevel="1">
      <c r="A49" s="90" t="s">
        <v>184</v>
      </c>
      <c r="B49" s="84"/>
      <c r="C49" s="84">
        <v>1</v>
      </c>
      <c r="D49" s="85">
        <f>2300000*1.2</f>
        <v>2760000</v>
      </c>
      <c r="E49" s="343">
        <f t="shared" si="13"/>
        <v>2760000</v>
      </c>
      <c r="F49" s="598"/>
      <c r="G49" s="600"/>
      <c r="H49" s="603"/>
      <c r="I49" s="603"/>
      <c r="J49" s="603"/>
      <c r="K49" s="344"/>
      <c r="N49" s="122">
        <f t="shared" ref="N49:N60" si="14">+E49</f>
        <v>2760000</v>
      </c>
    </row>
    <row r="50" spans="1:16" outlineLevel="1">
      <c r="A50" s="90" t="s">
        <v>185</v>
      </c>
      <c r="B50" s="84"/>
      <c r="C50" s="84">
        <v>1</v>
      </c>
      <c r="D50" s="85">
        <f>650000*1.2</f>
        <v>780000</v>
      </c>
      <c r="E50" s="343">
        <f t="shared" si="13"/>
        <v>780000</v>
      </c>
      <c r="F50" s="598"/>
      <c r="G50" s="600"/>
      <c r="H50" s="603"/>
      <c r="I50" s="603"/>
      <c r="J50" s="603"/>
      <c r="K50" s="344"/>
      <c r="N50" s="122">
        <f t="shared" si="14"/>
        <v>780000</v>
      </c>
    </row>
    <row r="51" spans="1:16" outlineLevel="1">
      <c r="A51" s="90" t="s">
        <v>186</v>
      </c>
      <c r="B51" s="84"/>
      <c r="C51" s="84">
        <v>1</v>
      </c>
      <c r="D51" s="85">
        <f>2500000*1.2</f>
        <v>3000000</v>
      </c>
      <c r="E51" s="343">
        <f t="shared" si="13"/>
        <v>3000000</v>
      </c>
      <c r="F51" s="598"/>
      <c r="G51" s="600"/>
      <c r="H51" s="603"/>
      <c r="I51" s="603"/>
      <c r="J51" s="603"/>
      <c r="K51" s="344"/>
      <c r="N51" s="122">
        <f t="shared" si="14"/>
        <v>3000000</v>
      </c>
    </row>
    <row r="52" spans="1:16" outlineLevel="1">
      <c r="A52" s="90" t="s">
        <v>187</v>
      </c>
      <c r="B52" s="84"/>
      <c r="C52" s="84">
        <v>1</v>
      </c>
      <c r="D52" s="85">
        <f>75000*1.2</f>
        <v>90000</v>
      </c>
      <c r="E52" s="343">
        <f t="shared" si="13"/>
        <v>90000</v>
      </c>
      <c r="F52" s="598"/>
      <c r="G52" s="600"/>
      <c r="H52" s="603"/>
      <c r="I52" s="603"/>
      <c r="J52" s="603"/>
      <c r="K52" s="344"/>
      <c r="N52" s="122">
        <f t="shared" si="14"/>
        <v>90000</v>
      </c>
    </row>
    <row r="53" spans="1:16" outlineLevel="1">
      <c r="A53" s="90" t="s">
        <v>188</v>
      </c>
      <c r="B53" s="84"/>
      <c r="C53" s="84">
        <v>1</v>
      </c>
      <c r="D53" s="85">
        <f>95000*1.2</f>
        <v>114000</v>
      </c>
      <c r="E53" s="343">
        <f t="shared" si="13"/>
        <v>114000</v>
      </c>
      <c r="F53" s="598"/>
      <c r="G53" s="600"/>
      <c r="H53" s="603"/>
      <c r="I53" s="603"/>
      <c r="J53" s="603"/>
      <c r="K53" s="344"/>
      <c r="N53" s="122">
        <f t="shared" si="14"/>
        <v>114000</v>
      </c>
    </row>
    <row r="54" spans="1:16" outlineLevel="1">
      <c r="A54" s="90" t="s">
        <v>189</v>
      </c>
      <c r="B54" s="84"/>
      <c r="C54" s="84">
        <v>1</v>
      </c>
      <c r="D54" s="85">
        <f>85000*1.2</f>
        <v>102000</v>
      </c>
      <c r="E54" s="343">
        <f t="shared" si="13"/>
        <v>102000</v>
      </c>
      <c r="F54" s="598"/>
      <c r="G54" s="600"/>
      <c r="H54" s="603"/>
      <c r="I54" s="603"/>
      <c r="J54" s="603"/>
      <c r="K54" s="344"/>
      <c r="N54" s="122">
        <f t="shared" si="14"/>
        <v>102000</v>
      </c>
    </row>
    <row r="55" spans="1:16" outlineLevel="1">
      <c r="A55" s="90" t="s">
        <v>190</v>
      </c>
      <c r="B55" s="84"/>
      <c r="C55" s="84">
        <v>1</v>
      </c>
      <c r="D55" s="85">
        <f>325000*1.2</f>
        <v>390000</v>
      </c>
      <c r="E55" s="343">
        <f t="shared" si="13"/>
        <v>390000</v>
      </c>
      <c r="F55" s="598"/>
      <c r="G55" s="600"/>
      <c r="H55" s="603"/>
      <c r="I55" s="603"/>
      <c r="J55" s="603"/>
      <c r="K55" s="344"/>
      <c r="N55" s="122">
        <f t="shared" si="14"/>
        <v>390000</v>
      </c>
    </row>
    <row r="56" spans="1:16" outlineLevel="1">
      <c r="A56" s="90" t="s">
        <v>191</v>
      </c>
      <c r="B56" s="84"/>
      <c r="C56" s="84">
        <v>1</v>
      </c>
      <c r="D56" s="85">
        <f>90000*1.2</f>
        <v>108000</v>
      </c>
      <c r="E56" s="343">
        <f t="shared" si="13"/>
        <v>108000</v>
      </c>
      <c r="F56" s="598"/>
      <c r="G56" s="600"/>
      <c r="H56" s="603"/>
      <c r="I56" s="603"/>
      <c r="J56" s="603"/>
      <c r="K56" s="344"/>
      <c r="N56" s="122">
        <f t="shared" si="14"/>
        <v>108000</v>
      </c>
    </row>
    <row r="57" spans="1:16" outlineLevel="1">
      <c r="A57" s="90" t="s">
        <v>192</v>
      </c>
      <c r="B57" s="84"/>
      <c r="C57" s="84">
        <v>1</v>
      </c>
      <c r="D57" s="85">
        <f>260000*1.2</f>
        <v>312000</v>
      </c>
      <c r="E57" s="343">
        <f t="shared" si="13"/>
        <v>312000</v>
      </c>
      <c r="F57" s="598"/>
      <c r="G57" s="600"/>
      <c r="H57" s="603"/>
      <c r="I57" s="603"/>
      <c r="J57" s="603"/>
      <c r="K57" s="344"/>
      <c r="N57" s="122">
        <f t="shared" si="14"/>
        <v>312000</v>
      </c>
    </row>
    <row r="58" spans="1:16" outlineLevel="1">
      <c r="A58" s="90" t="s">
        <v>193</v>
      </c>
      <c r="B58" s="84"/>
      <c r="C58" s="84">
        <v>1</v>
      </c>
      <c r="D58" s="85">
        <f>45000*1.2</f>
        <v>54000</v>
      </c>
      <c r="E58" s="343">
        <f t="shared" si="13"/>
        <v>54000</v>
      </c>
      <c r="F58" s="598"/>
      <c r="G58" s="600"/>
      <c r="H58" s="603"/>
      <c r="I58" s="603"/>
      <c r="J58" s="603"/>
      <c r="K58" s="344"/>
      <c r="N58" s="122">
        <f t="shared" si="14"/>
        <v>54000</v>
      </c>
    </row>
    <row r="59" spans="1:16" outlineLevel="1" collapsed="1">
      <c r="A59" s="90" t="s">
        <v>194</v>
      </c>
      <c r="B59" s="84" t="s">
        <v>144</v>
      </c>
      <c r="C59" s="84">
        <v>1</v>
      </c>
      <c r="D59" s="106">
        <v>12000</v>
      </c>
      <c r="E59" s="345">
        <f>+C59*D59</f>
        <v>12000</v>
      </c>
      <c r="F59" s="598"/>
      <c r="G59" s="600"/>
      <c r="H59" s="603"/>
      <c r="I59" s="603"/>
      <c r="J59" s="603"/>
      <c r="K59" s="344"/>
      <c r="N59" s="122">
        <f t="shared" si="14"/>
        <v>12000</v>
      </c>
    </row>
    <row r="60" spans="1:16" outlineLevel="1">
      <c r="A60" s="90" t="s">
        <v>167</v>
      </c>
      <c r="B60" s="84" t="s">
        <v>17</v>
      </c>
      <c r="C60" s="84">
        <v>1</v>
      </c>
      <c r="D60" s="85">
        <v>100000</v>
      </c>
      <c r="E60" s="343">
        <f>+C60*D60</f>
        <v>100000</v>
      </c>
      <c r="F60" s="598"/>
      <c r="G60" s="601"/>
      <c r="H60" s="604"/>
      <c r="I60" s="604"/>
      <c r="J60" s="604"/>
      <c r="K60" s="344"/>
      <c r="N60" s="122">
        <f t="shared" si="14"/>
        <v>100000</v>
      </c>
    </row>
    <row r="61" spans="1:16" outlineLevel="1">
      <c r="A61" s="97" t="s">
        <v>195</v>
      </c>
      <c r="B61" s="84"/>
      <c r="C61" s="84"/>
      <c r="D61" s="106"/>
      <c r="E61" s="333">
        <f>SUM(E62:E70)</f>
        <v>3726000</v>
      </c>
      <c r="F61" s="245"/>
      <c r="G61" s="340">
        <f>+$E61*G62</f>
        <v>1490400</v>
      </c>
      <c r="H61" s="105">
        <f t="shared" ref="H61:J61" si="15">+$E61*H62</f>
        <v>372600</v>
      </c>
      <c r="I61" s="105">
        <f t="shared" si="15"/>
        <v>1490400</v>
      </c>
      <c r="J61" s="105">
        <f t="shared" si="15"/>
        <v>372600</v>
      </c>
      <c r="K61" s="341"/>
      <c r="N61" s="342">
        <f>SUM(N62:N70)</f>
        <v>3576000</v>
      </c>
    </row>
    <row r="62" spans="1:16" s="110" customFormat="1" outlineLevel="2">
      <c r="A62" s="107" t="s">
        <v>196</v>
      </c>
      <c r="B62" s="108" t="s">
        <v>144</v>
      </c>
      <c r="C62" s="108">
        <v>1</v>
      </c>
      <c r="D62" s="109">
        <v>2400000</v>
      </c>
      <c r="E62" s="343">
        <f t="shared" ref="E62:E70" si="16">+C62*D62</f>
        <v>2400000</v>
      </c>
      <c r="F62" s="605"/>
      <c r="G62" s="583">
        <v>0.4</v>
      </c>
      <c r="H62" s="586">
        <v>0.1</v>
      </c>
      <c r="I62" s="586">
        <v>0.4</v>
      </c>
      <c r="J62" s="586">
        <v>0.1</v>
      </c>
      <c r="K62" s="337"/>
      <c r="L62" s="166"/>
      <c r="M62" s="166"/>
      <c r="N62" s="346">
        <f>+E62</f>
        <v>2400000</v>
      </c>
      <c r="P62" s="347"/>
    </row>
    <row r="63" spans="1:16" outlineLevel="2">
      <c r="A63" s="111" t="s">
        <v>197</v>
      </c>
      <c r="B63" s="84" t="s">
        <v>144</v>
      </c>
      <c r="C63" s="84">
        <v>2</v>
      </c>
      <c r="D63" s="106">
        <v>80000</v>
      </c>
      <c r="E63" s="343">
        <f t="shared" si="16"/>
        <v>160000</v>
      </c>
      <c r="F63" s="605"/>
      <c r="G63" s="607"/>
      <c r="H63" s="605"/>
      <c r="I63" s="605"/>
      <c r="J63" s="605"/>
      <c r="K63" s="337"/>
      <c r="N63" s="346">
        <f t="shared" ref="N63:N69" si="17">+E63</f>
        <v>160000</v>
      </c>
    </row>
    <row r="64" spans="1:16" outlineLevel="2">
      <c r="A64" s="111" t="s">
        <v>198</v>
      </c>
      <c r="B64" s="84" t="s">
        <v>144</v>
      </c>
      <c r="C64" s="84">
        <v>1</v>
      </c>
      <c r="D64" s="106">
        <v>700000</v>
      </c>
      <c r="E64" s="343">
        <f t="shared" si="16"/>
        <v>700000</v>
      </c>
      <c r="F64" s="605"/>
      <c r="G64" s="607"/>
      <c r="H64" s="605"/>
      <c r="I64" s="605"/>
      <c r="J64" s="605"/>
      <c r="K64" s="337"/>
      <c r="N64" s="346">
        <f t="shared" si="17"/>
        <v>700000</v>
      </c>
    </row>
    <row r="65" spans="1:35" outlineLevel="2">
      <c r="A65" s="111" t="s">
        <v>199</v>
      </c>
      <c r="B65" s="84" t="s">
        <v>144</v>
      </c>
      <c r="C65" s="84">
        <v>1</v>
      </c>
      <c r="D65" s="106">
        <v>65000</v>
      </c>
      <c r="E65" s="343">
        <f t="shared" si="16"/>
        <v>65000</v>
      </c>
      <c r="F65" s="605"/>
      <c r="G65" s="607"/>
      <c r="H65" s="605"/>
      <c r="I65" s="605"/>
      <c r="J65" s="605"/>
      <c r="K65" s="337"/>
      <c r="N65" s="346">
        <f t="shared" si="17"/>
        <v>65000</v>
      </c>
    </row>
    <row r="66" spans="1:35" outlineLevel="2">
      <c r="A66" s="111" t="s">
        <v>200</v>
      </c>
      <c r="B66" s="84" t="s">
        <v>144</v>
      </c>
      <c r="C66" s="84">
        <v>1</v>
      </c>
      <c r="D66" s="106">
        <v>115000</v>
      </c>
      <c r="E66" s="343">
        <f t="shared" si="16"/>
        <v>115000</v>
      </c>
      <c r="F66" s="605"/>
      <c r="G66" s="607"/>
      <c r="H66" s="605"/>
      <c r="I66" s="605"/>
      <c r="J66" s="605"/>
      <c r="K66" s="337"/>
      <c r="N66" s="346">
        <f t="shared" si="17"/>
        <v>115000</v>
      </c>
    </row>
    <row r="67" spans="1:35" outlineLevel="2">
      <c r="A67" s="111" t="s">
        <v>201</v>
      </c>
      <c r="B67" s="84" t="s">
        <v>144</v>
      </c>
      <c r="C67" s="84">
        <v>1</v>
      </c>
      <c r="D67" s="106">
        <v>75000</v>
      </c>
      <c r="E67" s="343">
        <f t="shared" si="16"/>
        <v>75000</v>
      </c>
      <c r="F67" s="605"/>
      <c r="G67" s="607"/>
      <c r="H67" s="605"/>
      <c r="I67" s="605"/>
      <c r="J67" s="605"/>
      <c r="K67" s="337"/>
      <c r="N67" s="346">
        <f t="shared" si="17"/>
        <v>75000</v>
      </c>
    </row>
    <row r="68" spans="1:35" outlineLevel="2">
      <c r="A68" s="111" t="s">
        <v>202</v>
      </c>
      <c r="B68" s="84" t="s">
        <v>144</v>
      </c>
      <c r="C68" s="84">
        <v>18</v>
      </c>
      <c r="D68" s="106">
        <v>2000</v>
      </c>
      <c r="E68" s="343">
        <f t="shared" si="16"/>
        <v>36000</v>
      </c>
      <c r="F68" s="605"/>
      <c r="G68" s="607"/>
      <c r="H68" s="605"/>
      <c r="I68" s="605"/>
      <c r="J68" s="605"/>
      <c r="K68" s="337"/>
      <c r="N68" s="346">
        <f t="shared" si="17"/>
        <v>36000</v>
      </c>
    </row>
    <row r="69" spans="1:35" outlineLevel="2">
      <c r="A69" s="111" t="s">
        <v>203</v>
      </c>
      <c r="B69" s="84" t="s">
        <v>144</v>
      </c>
      <c r="C69" s="84">
        <v>1</v>
      </c>
      <c r="D69" s="106">
        <v>25000</v>
      </c>
      <c r="E69" s="343">
        <f t="shared" si="16"/>
        <v>25000</v>
      </c>
      <c r="F69" s="605"/>
      <c r="G69" s="607"/>
      <c r="H69" s="605"/>
      <c r="I69" s="605"/>
      <c r="J69" s="605"/>
      <c r="K69" s="337"/>
      <c r="N69" s="346">
        <f t="shared" si="17"/>
        <v>25000</v>
      </c>
    </row>
    <row r="70" spans="1:35" s="24" customFormat="1" outlineLevel="2">
      <c r="A70" s="480" t="s">
        <v>204</v>
      </c>
      <c r="B70" s="112" t="s">
        <v>144</v>
      </c>
      <c r="C70" s="112">
        <v>1</v>
      </c>
      <c r="D70" s="481">
        <v>150000</v>
      </c>
      <c r="E70" s="312">
        <f t="shared" si="16"/>
        <v>150000</v>
      </c>
      <c r="F70" s="606"/>
      <c r="G70" s="608"/>
      <c r="H70" s="606"/>
      <c r="I70" s="606"/>
      <c r="J70" s="606"/>
      <c r="K70" s="482"/>
      <c r="L70" s="168"/>
      <c r="M70" s="168"/>
      <c r="N70" s="24">
        <v>0</v>
      </c>
      <c r="O70" s="317">
        <f>+N70-E70</f>
        <v>-150000</v>
      </c>
      <c r="P70" s="318"/>
    </row>
    <row r="71" spans="1:35" s="82" customFormat="1">
      <c r="A71" s="321" t="s">
        <v>205</v>
      </c>
      <c r="B71" s="296"/>
      <c r="C71" s="296"/>
      <c r="D71" s="297"/>
      <c r="E71" s="295"/>
      <c r="F71" s="348">
        <f>+E72+E73</f>
        <v>3400000</v>
      </c>
      <c r="G71" s="299">
        <f>+$F71*G72</f>
        <v>1360000</v>
      </c>
      <c r="H71" s="299">
        <f t="shared" ref="H71:J71" si="18">+$F71*H72</f>
        <v>918000.00000000012</v>
      </c>
      <c r="I71" s="299">
        <f t="shared" si="18"/>
        <v>782000</v>
      </c>
      <c r="J71" s="299">
        <f t="shared" si="18"/>
        <v>340000</v>
      </c>
      <c r="K71" s="300"/>
      <c r="L71" s="301">
        <v>2</v>
      </c>
      <c r="M71" s="301" t="s">
        <v>142</v>
      </c>
      <c r="N71" s="302">
        <f>+F71</f>
        <v>3400000</v>
      </c>
      <c r="O71" s="302">
        <f>+N71-F71</f>
        <v>0</v>
      </c>
      <c r="P71" s="239">
        <v>2.2999999999999998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outlineLevel="1">
      <c r="A72" s="90" t="s">
        <v>206</v>
      </c>
      <c r="B72" s="84" t="s">
        <v>159</v>
      </c>
      <c r="C72" s="84">
        <v>2200</v>
      </c>
      <c r="D72" s="101">
        <v>1500</v>
      </c>
      <c r="E72" s="85">
        <f>+D72*C72</f>
        <v>3300000</v>
      </c>
      <c r="F72" s="609"/>
      <c r="G72" s="611">
        <v>0.4</v>
      </c>
      <c r="H72" s="611">
        <v>0.27</v>
      </c>
      <c r="I72" s="611">
        <v>0.23</v>
      </c>
      <c r="J72" s="611">
        <v>0.1</v>
      </c>
      <c r="K72" s="332"/>
    </row>
    <row r="73" spans="1:35" outlineLevel="1">
      <c r="A73" s="90" t="s">
        <v>207</v>
      </c>
      <c r="B73" s="84" t="s">
        <v>17</v>
      </c>
      <c r="C73" s="84">
        <v>1</v>
      </c>
      <c r="D73" s="85">
        <v>100000</v>
      </c>
      <c r="E73" s="85">
        <f>+D73*C73</f>
        <v>100000</v>
      </c>
      <c r="F73" s="610"/>
      <c r="G73" s="612"/>
      <c r="H73" s="612"/>
      <c r="I73" s="612"/>
      <c r="J73" s="612"/>
      <c r="K73" s="332"/>
    </row>
    <row r="74" spans="1:35" s="82" customFormat="1">
      <c r="A74" s="321" t="s">
        <v>208</v>
      </c>
      <c r="B74" s="296"/>
      <c r="C74" s="296"/>
      <c r="D74" s="297"/>
      <c r="E74" s="295"/>
      <c r="F74" s="298">
        <f>+E75+E88+E100+E104</f>
        <v>12064160</v>
      </c>
      <c r="G74" s="299">
        <f>+G75+G88+G100+G104</f>
        <v>4599764</v>
      </c>
      <c r="H74" s="299">
        <f t="shared" ref="H74:J74" si="19">+H75+H88+H100+H104</f>
        <v>3143580</v>
      </c>
      <c r="I74" s="299">
        <f t="shared" si="19"/>
        <v>2934904</v>
      </c>
      <c r="J74" s="299">
        <f t="shared" si="19"/>
        <v>1385912</v>
      </c>
      <c r="K74" s="300"/>
      <c r="L74" s="301">
        <v>2</v>
      </c>
      <c r="M74" s="301" t="s">
        <v>142</v>
      </c>
      <c r="N74" s="302">
        <f>SUM(N75:N108)</f>
        <v>11154160</v>
      </c>
      <c r="O74" s="302">
        <f>+N74-F74</f>
        <v>-910000</v>
      </c>
      <c r="P74" s="239">
        <v>2.7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s="5" customFormat="1">
      <c r="A75" s="97" t="s">
        <v>181</v>
      </c>
      <c r="B75" s="98"/>
      <c r="C75" s="98"/>
      <c r="D75" s="99"/>
      <c r="E75" s="339">
        <f>SUM(E76:E87)</f>
        <v>8974800</v>
      </c>
      <c r="F75" s="244"/>
      <c r="G75" s="340">
        <f>+$E75*G76</f>
        <v>2961684</v>
      </c>
      <c r="H75" s="105">
        <f t="shared" ref="H75:J75" si="20">+$E75*H76</f>
        <v>3141180</v>
      </c>
      <c r="I75" s="105">
        <f t="shared" si="20"/>
        <v>1794960</v>
      </c>
      <c r="J75" s="105">
        <f t="shared" si="20"/>
        <v>1076976</v>
      </c>
      <c r="K75" s="341"/>
      <c r="L75" s="164"/>
      <c r="M75" s="164"/>
      <c r="N75" s="342">
        <f>+E75</f>
        <v>8974800</v>
      </c>
      <c r="P75" s="239"/>
    </row>
    <row r="76" spans="1:35" outlineLevel="1">
      <c r="A76" s="90" t="s">
        <v>209</v>
      </c>
      <c r="B76" s="84"/>
      <c r="C76" s="84">
        <v>1</v>
      </c>
      <c r="D76" s="85">
        <f>55000*1.2</f>
        <v>66000</v>
      </c>
      <c r="E76" s="303">
        <f t="shared" ref="E76:E87" si="21">+D76*C76</f>
        <v>66000</v>
      </c>
      <c r="F76" s="598"/>
      <c r="G76" s="599">
        <v>0.33</v>
      </c>
      <c r="H76" s="602">
        <v>0.35</v>
      </c>
      <c r="I76" s="602">
        <v>0.2</v>
      </c>
      <c r="J76" s="602">
        <v>0.12</v>
      </c>
      <c r="K76" s="344"/>
      <c r="M76" s="167"/>
    </row>
    <row r="77" spans="1:35" outlineLevel="1">
      <c r="A77" s="90" t="s">
        <v>210</v>
      </c>
      <c r="B77" s="84"/>
      <c r="C77" s="84">
        <v>1</v>
      </c>
      <c r="D77" s="85">
        <f>70000*1.2</f>
        <v>84000</v>
      </c>
      <c r="E77" s="303">
        <f t="shared" si="21"/>
        <v>84000</v>
      </c>
      <c r="F77" s="598"/>
      <c r="G77" s="600"/>
      <c r="H77" s="603"/>
      <c r="I77" s="603"/>
      <c r="J77" s="603"/>
      <c r="K77" s="344"/>
    </row>
    <row r="78" spans="1:35" outlineLevel="1">
      <c r="A78" s="90" t="s">
        <v>211</v>
      </c>
      <c r="B78" s="84"/>
      <c r="C78" s="84">
        <v>1</v>
      </c>
      <c r="D78" s="85">
        <f>110000*1.2</f>
        <v>132000</v>
      </c>
      <c r="E78" s="303">
        <f t="shared" si="21"/>
        <v>132000</v>
      </c>
      <c r="F78" s="598"/>
      <c r="G78" s="600"/>
      <c r="H78" s="603"/>
      <c r="I78" s="603"/>
      <c r="J78" s="603"/>
      <c r="K78" s="344"/>
    </row>
    <row r="79" spans="1:35" outlineLevel="1">
      <c r="A79" s="90" t="s">
        <v>184</v>
      </c>
      <c r="B79" s="84"/>
      <c r="C79" s="84">
        <v>1</v>
      </c>
      <c r="D79" s="85">
        <f>2300000*1.2</f>
        <v>2760000</v>
      </c>
      <c r="E79" s="303">
        <f t="shared" si="21"/>
        <v>2760000</v>
      </c>
      <c r="F79" s="598"/>
      <c r="G79" s="600"/>
      <c r="H79" s="603"/>
      <c r="I79" s="603"/>
      <c r="J79" s="603"/>
      <c r="K79" s="344"/>
    </row>
    <row r="80" spans="1:35" outlineLevel="1">
      <c r="A80" s="90" t="s">
        <v>186</v>
      </c>
      <c r="B80" s="84"/>
      <c r="C80" s="84">
        <v>1</v>
      </c>
      <c r="D80" s="85">
        <f>3500000*1.2</f>
        <v>4200000</v>
      </c>
      <c r="E80" s="303">
        <f t="shared" si="21"/>
        <v>4200000</v>
      </c>
      <c r="F80" s="598"/>
      <c r="G80" s="600"/>
      <c r="H80" s="603"/>
      <c r="I80" s="603"/>
      <c r="J80" s="603"/>
      <c r="K80" s="344"/>
    </row>
    <row r="81" spans="1:14" outlineLevel="1">
      <c r="A81" s="90" t="s">
        <v>185</v>
      </c>
      <c r="B81" s="84"/>
      <c r="C81" s="84">
        <v>1</v>
      </c>
      <c r="D81" s="85">
        <f>750000*1.2</f>
        <v>900000</v>
      </c>
      <c r="E81" s="303">
        <f t="shared" si="21"/>
        <v>900000</v>
      </c>
      <c r="F81" s="598"/>
      <c r="G81" s="600"/>
      <c r="H81" s="603"/>
      <c r="I81" s="603"/>
      <c r="J81" s="603"/>
      <c r="K81" s="344"/>
    </row>
    <row r="82" spans="1:14" outlineLevel="1">
      <c r="A82" s="90" t="s">
        <v>212</v>
      </c>
      <c r="B82" s="84"/>
      <c r="C82" s="84">
        <v>1</v>
      </c>
      <c r="D82" s="85">
        <f>144000*1.2</f>
        <v>172800</v>
      </c>
      <c r="E82" s="303">
        <f t="shared" si="21"/>
        <v>172800</v>
      </c>
      <c r="F82" s="598"/>
      <c r="G82" s="600"/>
      <c r="H82" s="603"/>
      <c r="I82" s="603"/>
      <c r="J82" s="603"/>
      <c r="K82" s="344"/>
    </row>
    <row r="83" spans="1:14" outlineLevel="1">
      <c r="A83" s="90" t="s">
        <v>188</v>
      </c>
      <c r="B83" s="84"/>
      <c r="C83" s="84">
        <v>1</v>
      </c>
      <c r="D83" s="85">
        <f>95000*1.2</f>
        <v>114000</v>
      </c>
      <c r="E83" s="303">
        <f t="shared" ref="E83" si="22">+C83*D83</f>
        <v>114000</v>
      </c>
      <c r="F83" s="598"/>
      <c r="G83" s="600"/>
      <c r="H83" s="603"/>
      <c r="I83" s="603"/>
      <c r="J83" s="603"/>
      <c r="K83" s="344"/>
    </row>
    <row r="84" spans="1:14" outlineLevel="1">
      <c r="A84" s="90" t="s">
        <v>213</v>
      </c>
      <c r="B84" s="84"/>
      <c r="C84" s="84">
        <v>1</v>
      </c>
      <c r="D84" s="85">
        <f>120000*1.2</f>
        <v>144000</v>
      </c>
      <c r="E84" s="303">
        <f t="shared" si="21"/>
        <v>144000</v>
      </c>
      <c r="F84" s="598"/>
      <c r="G84" s="600"/>
      <c r="H84" s="603"/>
      <c r="I84" s="603"/>
      <c r="J84" s="603"/>
      <c r="K84" s="344"/>
    </row>
    <row r="85" spans="1:14" outlineLevel="1">
      <c r="A85" s="90" t="s">
        <v>191</v>
      </c>
      <c r="B85" s="84"/>
      <c r="C85" s="84">
        <v>1</v>
      </c>
      <c r="D85" s="85">
        <f>80000*1.2</f>
        <v>96000</v>
      </c>
      <c r="E85" s="303">
        <f t="shared" si="21"/>
        <v>96000</v>
      </c>
      <c r="F85" s="598"/>
      <c r="G85" s="600"/>
      <c r="H85" s="603"/>
      <c r="I85" s="603"/>
      <c r="J85" s="603"/>
      <c r="K85" s="344"/>
    </row>
    <row r="86" spans="1:14" outlineLevel="1">
      <c r="A86" s="90" t="s">
        <v>192</v>
      </c>
      <c r="B86" s="84"/>
      <c r="C86" s="84">
        <v>1</v>
      </c>
      <c r="D86" s="85">
        <f>220000*1.2</f>
        <v>264000</v>
      </c>
      <c r="E86" s="303">
        <f t="shared" si="21"/>
        <v>264000</v>
      </c>
      <c r="F86" s="598"/>
      <c r="G86" s="600"/>
      <c r="H86" s="603"/>
      <c r="I86" s="603"/>
      <c r="J86" s="603"/>
      <c r="K86" s="344"/>
    </row>
    <row r="87" spans="1:14" outlineLevel="1">
      <c r="A87" s="90" t="s">
        <v>193</v>
      </c>
      <c r="B87" s="84"/>
      <c r="C87" s="84">
        <v>1</v>
      </c>
      <c r="D87" s="85">
        <f>35000*1.2</f>
        <v>42000</v>
      </c>
      <c r="E87" s="303">
        <f t="shared" si="21"/>
        <v>42000</v>
      </c>
      <c r="F87" s="598"/>
      <c r="G87" s="601"/>
      <c r="H87" s="604"/>
      <c r="I87" s="604"/>
      <c r="J87" s="604"/>
      <c r="K87" s="344"/>
    </row>
    <row r="88" spans="1:14" outlineLevel="1">
      <c r="A88" s="97" t="s">
        <v>195</v>
      </c>
      <c r="B88" s="84"/>
      <c r="C88" s="84"/>
      <c r="D88" s="106"/>
      <c r="E88" s="333">
        <f>SUM(E89:E99)</f>
        <v>2155360</v>
      </c>
      <c r="F88" s="245"/>
      <c r="G88" s="340">
        <f>+$E88*G89</f>
        <v>1077680</v>
      </c>
      <c r="H88" s="105">
        <f>+$E88*H89</f>
        <v>0</v>
      </c>
      <c r="I88" s="105">
        <f>+$E88*I89</f>
        <v>862144</v>
      </c>
      <c r="J88" s="105">
        <f>+$E88*J89</f>
        <v>215536</v>
      </c>
      <c r="K88" s="341"/>
      <c r="N88" s="122">
        <f>+E88</f>
        <v>2155360</v>
      </c>
    </row>
    <row r="89" spans="1:14" outlineLevel="1">
      <c r="A89" s="107" t="s">
        <v>214</v>
      </c>
      <c r="B89" s="108" t="s">
        <v>144</v>
      </c>
      <c r="C89" s="108">
        <v>5</v>
      </c>
      <c r="D89" s="109">
        <f>1.13*100000</f>
        <v>112999.99999999999</v>
      </c>
      <c r="E89" s="329">
        <f t="shared" ref="E89:E108" si="23">+C89*D89</f>
        <v>564999.99999999988</v>
      </c>
      <c r="F89" s="613"/>
      <c r="G89" s="614">
        <v>0.5</v>
      </c>
      <c r="H89" s="617">
        <v>0</v>
      </c>
      <c r="I89" s="617">
        <v>0.4</v>
      </c>
      <c r="J89" s="617">
        <v>0.1</v>
      </c>
      <c r="K89" s="349"/>
    </row>
    <row r="90" spans="1:14" outlineLevel="1">
      <c r="A90" s="107" t="s">
        <v>215</v>
      </c>
      <c r="B90" s="108" t="s">
        <v>144</v>
      </c>
      <c r="C90" s="108">
        <v>2</v>
      </c>
      <c r="D90" s="109">
        <f>1.13*75000</f>
        <v>84749.999999999985</v>
      </c>
      <c r="E90" s="329">
        <f t="shared" si="23"/>
        <v>169499.99999999997</v>
      </c>
      <c r="F90" s="613"/>
      <c r="G90" s="615"/>
      <c r="H90" s="618"/>
      <c r="I90" s="618"/>
      <c r="J90" s="618"/>
      <c r="K90" s="349"/>
    </row>
    <row r="91" spans="1:14" outlineLevel="1">
      <c r="A91" s="107" t="s">
        <v>216</v>
      </c>
      <c r="B91" s="108" t="s">
        <v>144</v>
      </c>
      <c r="C91" s="108">
        <v>1</v>
      </c>
      <c r="D91" s="109">
        <f>1.13*22000</f>
        <v>24859.999999999996</v>
      </c>
      <c r="E91" s="329">
        <f t="shared" si="23"/>
        <v>24859.999999999996</v>
      </c>
      <c r="F91" s="613"/>
      <c r="G91" s="615"/>
      <c r="H91" s="618"/>
      <c r="I91" s="618"/>
      <c r="J91" s="618"/>
      <c r="K91" s="349"/>
    </row>
    <row r="92" spans="1:14" outlineLevel="1">
      <c r="A92" s="107" t="s">
        <v>217</v>
      </c>
      <c r="B92" s="108" t="s">
        <v>144</v>
      </c>
      <c r="C92" s="108">
        <v>1</v>
      </c>
      <c r="D92" s="109">
        <f>1.13*50000</f>
        <v>56499.999999999993</v>
      </c>
      <c r="E92" s="329">
        <f t="shared" si="23"/>
        <v>56499.999999999993</v>
      </c>
      <c r="F92" s="613"/>
      <c r="G92" s="615"/>
      <c r="H92" s="618"/>
      <c r="I92" s="618"/>
      <c r="J92" s="618"/>
      <c r="K92" s="349"/>
    </row>
    <row r="93" spans="1:14" outlineLevel="2">
      <c r="A93" s="107" t="s">
        <v>218</v>
      </c>
      <c r="B93" s="108" t="s">
        <v>144</v>
      </c>
      <c r="C93" s="108">
        <v>1</v>
      </c>
      <c r="D93" s="109">
        <v>150000</v>
      </c>
      <c r="E93" s="329">
        <f t="shared" si="23"/>
        <v>150000</v>
      </c>
      <c r="F93" s="613"/>
      <c r="G93" s="615"/>
      <c r="H93" s="618"/>
      <c r="I93" s="618"/>
      <c r="J93" s="618"/>
      <c r="K93" s="349"/>
    </row>
    <row r="94" spans="1:14" outlineLevel="2">
      <c r="A94" s="107" t="s">
        <v>200</v>
      </c>
      <c r="B94" s="108" t="s">
        <v>144</v>
      </c>
      <c r="C94" s="108">
        <v>1</v>
      </c>
      <c r="D94" s="109">
        <v>120000</v>
      </c>
      <c r="E94" s="329">
        <f t="shared" si="23"/>
        <v>120000</v>
      </c>
      <c r="F94" s="613"/>
      <c r="G94" s="615"/>
      <c r="H94" s="618"/>
      <c r="I94" s="618"/>
      <c r="J94" s="618"/>
      <c r="K94" s="349"/>
    </row>
    <row r="95" spans="1:14" outlineLevel="2">
      <c r="A95" s="107" t="s">
        <v>201</v>
      </c>
      <c r="B95" s="108" t="s">
        <v>144</v>
      </c>
      <c r="C95" s="108">
        <v>1</v>
      </c>
      <c r="D95" s="109">
        <v>25000</v>
      </c>
      <c r="E95" s="329">
        <f t="shared" si="23"/>
        <v>25000</v>
      </c>
      <c r="F95" s="613"/>
      <c r="G95" s="615"/>
      <c r="H95" s="618"/>
      <c r="I95" s="618"/>
      <c r="J95" s="618"/>
      <c r="K95" s="349"/>
    </row>
    <row r="96" spans="1:14" outlineLevel="2">
      <c r="A96" s="107" t="s">
        <v>202</v>
      </c>
      <c r="B96" s="108" t="s">
        <v>144</v>
      </c>
      <c r="C96" s="108">
        <v>6</v>
      </c>
      <c r="D96" s="109">
        <v>2000</v>
      </c>
      <c r="E96" s="329">
        <f t="shared" si="23"/>
        <v>12000</v>
      </c>
      <c r="F96" s="613"/>
      <c r="G96" s="615"/>
      <c r="H96" s="618"/>
      <c r="I96" s="618"/>
      <c r="J96" s="618"/>
      <c r="K96" s="349"/>
    </row>
    <row r="97" spans="1:35" outlineLevel="2">
      <c r="A97" s="107" t="s">
        <v>219</v>
      </c>
      <c r="B97" s="108" t="s">
        <v>144</v>
      </c>
      <c r="C97" s="108">
        <v>6</v>
      </c>
      <c r="D97" s="109">
        <f>1.13*125000</f>
        <v>141250</v>
      </c>
      <c r="E97" s="329">
        <f t="shared" si="23"/>
        <v>847500</v>
      </c>
      <c r="F97" s="613"/>
      <c r="G97" s="615"/>
      <c r="H97" s="618"/>
      <c r="I97" s="618"/>
      <c r="J97" s="618"/>
      <c r="K97" s="349"/>
    </row>
    <row r="98" spans="1:35" outlineLevel="2">
      <c r="A98" s="107" t="s">
        <v>203</v>
      </c>
      <c r="B98" s="108" t="s">
        <v>144</v>
      </c>
      <c r="C98" s="108">
        <v>1</v>
      </c>
      <c r="D98" s="109">
        <v>25000</v>
      </c>
      <c r="E98" s="329">
        <f t="shared" si="23"/>
        <v>25000</v>
      </c>
      <c r="F98" s="613"/>
      <c r="G98" s="615"/>
      <c r="H98" s="618"/>
      <c r="I98" s="618"/>
      <c r="J98" s="618"/>
      <c r="K98" s="349"/>
    </row>
    <row r="99" spans="1:35" outlineLevel="2">
      <c r="A99" s="107" t="s">
        <v>204</v>
      </c>
      <c r="B99" s="108" t="s">
        <v>144</v>
      </c>
      <c r="C99" s="108">
        <v>1</v>
      </c>
      <c r="D99" s="109">
        <v>160000</v>
      </c>
      <c r="E99" s="329">
        <f t="shared" si="23"/>
        <v>160000</v>
      </c>
      <c r="F99" s="613"/>
      <c r="G99" s="616"/>
      <c r="H99" s="619"/>
      <c r="I99" s="619"/>
      <c r="J99" s="619"/>
      <c r="K99" s="349"/>
    </row>
    <row r="100" spans="1:35" ht="13.9" customHeight="1" outlineLevel="1">
      <c r="A100" s="115" t="s">
        <v>167</v>
      </c>
      <c r="B100" s="116" t="s">
        <v>17</v>
      </c>
      <c r="C100" s="116"/>
      <c r="D100" s="117"/>
      <c r="E100" s="350">
        <f>SUM(E101:E103)</f>
        <v>24000</v>
      </c>
      <c r="F100" s="351"/>
      <c r="G100" s="340">
        <f>+$E100*G101</f>
        <v>14400</v>
      </c>
      <c r="H100" s="105">
        <f t="shared" ref="H100:J100" si="24">+$E100*H101</f>
        <v>2400</v>
      </c>
      <c r="I100" s="105">
        <f t="shared" si="24"/>
        <v>4800</v>
      </c>
      <c r="J100" s="105">
        <f t="shared" si="24"/>
        <v>2400</v>
      </c>
      <c r="K100" s="341"/>
      <c r="N100" s="122">
        <f>+E100</f>
        <v>24000</v>
      </c>
    </row>
    <row r="101" spans="1:35" outlineLevel="1">
      <c r="A101" s="352" t="s">
        <v>220</v>
      </c>
      <c r="B101" s="108" t="s">
        <v>144</v>
      </c>
      <c r="C101" s="108">
        <v>1</v>
      </c>
      <c r="D101" s="109">
        <v>20000</v>
      </c>
      <c r="E101" s="308">
        <f t="shared" si="23"/>
        <v>20000</v>
      </c>
      <c r="F101" s="613"/>
      <c r="G101" s="583">
        <v>0.6</v>
      </c>
      <c r="H101" s="586">
        <v>0.1</v>
      </c>
      <c r="I101" s="586">
        <v>0.2</v>
      </c>
      <c r="J101" s="586">
        <v>0.1</v>
      </c>
      <c r="K101" s="337"/>
    </row>
    <row r="102" spans="1:35" outlineLevel="1">
      <c r="A102" s="352" t="s">
        <v>221</v>
      </c>
      <c r="B102" s="108" t="s">
        <v>144</v>
      </c>
      <c r="C102" s="108">
        <v>1</v>
      </c>
      <c r="D102" s="109">
        <v>2000</v>
      </c>
      <c r="E102" s="308">
        <f t="shared" si="23"/>
        <v>2000</v>
      </c>
      <c r="F102" s="613"/>
      <c r="G102" s="607"/>
      <c r="H102" s="605"/>
      <c r="I102" s="605"/>
      <c r="J102" s="605"/>
      <c r="K102" s="337"/>
    </row>
    <row r="103" spans="1:35" outlineLevel="1">
      <c r="A103" s="352" t="s">
        <v>222</v>
      </c>
      <c r="B103" s="108" t="s">
        <v>144</v>
      </c>
      <c r="C103" s="108">
        <v>1</v>
      </c>
      <c r="D103" s="109">
        <v>2000</v>
      </c>
      <c r="E103" s="308">
        <f t="shared" si="23"/>
        <v>2000</v>
      </c>
      <c r="F103" s="613"/>
      <c r="G103" s="608"/>
      <c r="H103" s="606"/>
      <c r="I103" s="606"/>
      <c r="J103" s="606"/>
      <c r="K103" s="337"/>
    </row>
    <row r="104" spans="1:35" s="24" customFormat="1" outlineLevel="1">
      <c r="A104" s="399" t="s">
        <v>223</v>
      </c>
      <c r="B104" s="112" t="s">
        <v>17</v>
      </c>
      <c r="C104" s="112"/>
      <c r="D104" s="481"/>
      <c r="E104" s="485">
        <f>SUM(E105:E108)</f>
        <v>910000</v>
      </c>
      <c r="F104" s="486"/>
      <c r="G104" s="487">
        <f>+$E104*G105</f>
        <v>546000</v>
      </c>
      <c r="H104" s="488">
        <f t="shared" ref="H104:J104" si="25">+$E104*H105</f>
        <v>0</v>
      </c>
      <c r="I104" s="488">
        <f t="shared" si="25"/>
        <v>273000</v>
      </c>
      <c r="J104" s="488">
        <f t="shared" si="25"/>
        <v>91000</v>
      </c>
      <c r="K104" s="489"/>
      <c r="L104" s="490"/>
      <c r="M104" s="168"/>
      <c r="N104" s="24">
        <v>0</v>
      </c>
      <c r="O104" s="317">
        <f>+N104-E104</f>
        <v>-910000</v>
      </c>
      <c r="P104" s="318"/>
    </row>
    <row r="105" spans="1:35" s="24" customFormat="1" outlineLevel="2">
      <c r="A105" s="311" t="s">
        <v>224</v>
      </c>
      <c r="B105" s="112" t="s">
        <v>144</v>
      </c>
      <c r="C105" s="112">
        <v>1</v>
      </c>
      <c r="D105" s="481">
        <v>250000</v>
      </c>
      <c r="E105" s="491">
        <f t="shared" si="23"/>
        <v>250000</v>
      </c>
      <c r="F105" s="620"/>
      <c r="G105" s="622">
        <v>0.6</v>
      </c>
      <c r="H105" s="625">
        <v>0</v>
      </c>
      <c r="I105" s="625">
        <v>0.3</v>
      </c>
      <c r="J105" s="625">
        <v>0.1</v>
      </c>
      <c r="K105" s="482"/>
      <c r="L105" s="490"/>
      <c r="M105" s="168"/>
      <c r="P105" s="318"/>
    </row>
    <row r="106" spans="1:35" s="24" customFormat="1" outlineLevel="2">
      <c r="A106" s="311" t="s">
        <v>225</v>
      </c>
      <c r="B106" s="112" t="s">
        <v>144</v>
      </c>
      <c r="C106" s="112">
        <v>1</v>
      </c>
      <c r="D106" s="481">
        <v>180000</v>
      </c>
      <c r="E106" s="491">
        <f t="shared" si="23"/>
        <v>180000</v>
      </c>
      <c r="F106" s="620"/>
      <c r="G106" s="623"/>
      <c r="H106" s="620"/>
      <c r="I106" s="620"/>
      <c r="J106" s="620"/>
      <c r="K106" s="482"/>
      <c r="L106" s="490"/>
      <c r="M106" s="168"/>
      <c r="P106" s="318"/>
    </row>
    <row r="107" spans="1:35" s="24" customFormat="1" outlineLevel="2">
      <c r="A107" s="311" t="s">
        <v>226</v>
      </c>
      <c r="B107" s="112" t="s">
        <v>144</v>
      </c>
      <c r="C107" s="112">
        <v>1</v>
      </c>
      <c r="D107" s="481">
        <v>160000</v>
      </c>
      <c r="E107" s="491">
        <f t="shared" si="23"/>
        <v>160000</v>
      </c>
      <c r="F107" s="620"/>
      <c r="G107" s="623"/>
      <c r="H107" s="620"/>
      <c r="I107" s="620"/>
      <c r="J107" s="620"/>
      <c r="K107" s="482"/>
      <c r="L107" s="490"/>
      <c r="M107" s="168"/>
      <c r="P107" s="318"/>
    </row>
    <row r="108" spans="1:35" s="24" customFormat="1" outlineLevel="2">
      <c r="A108" s="311" t="s">
        <v>204</v>
      </c>
      <c r="B108" s="112" t="s">
        <v>144</v>
      </c>
      <c r="C108" s="112">
        <v>1</v>
      </c>
      <c r="D108" s="481">
        <v>320000</v>
      </c>
      <c r="E108" s="491">
        <f t="shared" si="23"/>
        <v>320000</v>
      </c>
      <c r="F108" s="621"/>
      <c r="G108" s="624"/>
      <c r="H108" s="621"/>
      <c r="I108" s="621"/>
      <c r="J108" s="621"/>
      <c r="K108" s="482"/>
      <c r="L108" s="168"/>
      <c r="M108" s="168"/>
      <c r="N108" s="24">
        <v>0</v>
      </c>
      <c r="O108" s="317"/>
      <c r="P108" s="318"/>
    </row>
    <row r="109" spans="1:35" s="82" customFormat="1">
      <c r="A109" s="321" t="s">
        <v>227</v>
      </c>
      <c r="B109" s="296"/>
      <c r="C109" s="296"/>
      <c r="D109" s="297"/>
      <c r="E109" s="295"/>
      <c r="F109" s="348">
        <f>SUM(E110:E111)</f>
        <v>2560000</v>
      </c>
      <c r="G109" s="299">
        <f>+$F109*G110</f>
        <v>1024000</v>
      </c>
      <c r="H109" s="299">
        <f t="shared" ref="H109:J109" si="26">+$F109*H110</f>
        <v>640000</v>
      </c>
      <c r="I109" s="299">
        <f t="shared" si="26"/>
        <v>640000</v>
      </c>
      <c r="J109" s="299">
        <f t="shared" si="26"/>
        <v>256000</v>
      </c>
      <c r="K109" s="300"/>
      <c r="L109" s="301">
        <v>2</v>
      </c>
      <c r="M109" s="301" t="s">
        <v>142</v>
      </c>
      <c r="N109" s="302">
        <f>+N110+N111</f>
        <v>2060000</v>
      </c>
      <c r="O109" s="302">
        <f>+N109-F109</f>
        <v>-500000</v>
      </c>
      <c r="P109" s="239">
        <v>2.4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s="24" customFormat="1" outlineLevel="1">
      <c r="A110" s="311" t="s">
        <v>228</v>
      </c>
      <c r="B110" s="112" t="s">
        <v>144</v>
      </c>
      <c r="C110" s="112">
        <v>20</v>
      </c>
      <c r="D110" s="113">
        <v>125000</v>
      </c>
      <c r="E110" s="113">
        <f>+D110*C110</f>
        <v>2500000</v>
      </c>
      <c r="F110" s="626"/>
      <c r="G110" s="611">
        <v>0.4</v>
      </c>
      <c r="H110" s="611">
        <v>0.25</v>
      </c>
      <c r="I110" s="611">
        <v>0.25</v>
      </c>
      <c r="J110" s="611">
        <v>0.1</v>
      </c>
      <c r="K110" s="492"/>
      <c r="L110" s="168"/>
      <c r="M110" s="168"/>
      <c r="N110" s="317">
        <f>100000*20</f>
        <v>2000000</v>
      </c>
      <c r="O110" s="317">
        <f>+N110-E110</f>
        <v>-500000</v>
      </c>
      <c r="P110" s="318"/>
    </row>
    <row r="111" spans="1:35" outlineLevel="1">
      <c r="A111" s="114" t="s">
        <v>229</v>
      </c>
      <c r="B111" s="108" t="s">
        <v>144</v>
      </c>
      <c r="C111" s="108">
        <v>3</v>
      </c>
      <c r="D111" s="101">
        <v>20000</v>
      </c>
      <c r="E111" s="101">
        <f>+D111*C111</f>
        <v>60000</v>
      </c>
      <c r="F111" s="627"/>
      <c r="G111" s="612"/>
      <c r="H111" s="612"/>
      <c r="I111" s="612"/>
      <c r="J111" s="612"/>
      <c r="K111" s="332"/>
      <c r="N111" s="122">
        <f>+E111</f>
        <v>60000</v>
      </c>
      <c r="O111" s="317">
        <f>+N111-E111</f>
        <v>0</v>
      </c>
    </row>
    <row r="112" spans="1:35" s="82" customFormat="1">
      <c r="A112" s="354" t="s">
        <v>230</v>
      </c>
      <c r="B112" s="355"/>
      <c r="C112" s="355"/>
      <c r="D112" s="356"/>
      <c r="E112" s="357"/>
      <c r="F112" s="298">
        <f>+E113+E123+E125</f>
        <v>11495870</v>
      </c>
      <c r="G112" s="299">
        <f>+G113+G123+G125+G137</f>
        <v>5518100.0722732767</v>
      </c>
      <c r="H112" s="299">
        <f t="shared" ref="H112:J112" si="27">+H113+H123+H125+H137</f>
        <v>1705000.0000000002</v>
      </c>
      <c r="I112" s="299">
        <f t="shared" si="27"/>
        <v>3554237.2775130626</v>
      </c>
      <c r="J112" s="299">
        <f t="shared" si="27"/>
        <v>1385032.6502136607</v>
      </c>
      <c r="K112" s="300"/>
      <c r="L112" s="301">
        <v>2</v>
      </c>
      <c r="M112" s="301" t="s">
        <v>150</v>
      </c>
      <c r="N112" s="302">
        <f>+F112-3500000-E136</f>
        <v>7835870</v>
      </c>
      <c r="O112" s="302">
        <f>+N112-F112</f>
        <v>-3660000</v>
      </c>
      <c r="P112" s="239">
        <v>2.7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16" s="137" customFormat="1">
      <c r="A113" s="115" t="s">
        <v>181</v>
      </c>
      <c r="B113" s="116"/>
      <c r="C113" s="116"/>
      <c r="D113" s="118"/>
      <c r="E113" s="358">
        <f>SUM(E114:E122)</f>
        <v>5250000</v>
      </c>
      <c r="F113" s="359"/>
      <c r="G113" s="360">
        <f>+$E113*G114</f>
        <v>2520000</v>
      </c>
      <c r="H113" s="361">
        <f t="shared" ref="H113:J113" si="28">+$E113*H114</f>
        <v>1470000.0000000002</v>
      </c>
      <c r="I113" s="361">
        <f t="shared" si="28"/>
        <v>630000</v>
      </c>
      <c r="J113" s="361">
        <f t="shared" si="28"/>
        <v>630000</v>
      </c>
      <c r="K113" s="362"/>
      <c r="L113" s="363"/>
      <c r="M113" s="363"/>
      <c r="P113" s="364"/>
    </row>
    <row r="114" spans="1:16" s="110" customFormat="1" outlineLevel="1">
      <c r="A114" s="114" t="s">
        <v>231</v>
      </c>
      <c r="B114" s="108"/>
      <c r="C114" s="108">
        <v>1</v>
      </c>
      <c r="D114" s="101">
        <f>70000*1.2</f>
        <v>84000</v>
      </c>
      <c r="E114" s="329">
        <f t="shared" ref="E114:E123" si="29">+D114*C114</f>
        <v>84000</v>
      </c>
      <c r="F114" s="628"/>
      <c r="G114" s="629">
        <v>0.48</v>
      </c>
      <c r="H114" s="632">
        <v>0.28000000000000003</v>
      </c>
      <c r="I114" s="632">
        <v>0.12</v>
      </c>
      <c r="J114" s="632">
        <v>0.12</v>
      </c>
      <c r="K114" s="365"/>
      <c r="L114" s="166"/>
      <c r="M114" s="166"/>
      <c r="P114" s="347"/>
    </row>
    <row r="115" spans="1:16" s="110" customFormat="1" outlineLevel="1">
      <c r="A115" s="114" t="s">
        <v>186</v>
      </c>
      <c r="B115" s="108"/>
      <c r="C115" s="108">
        <v>1</v>
      </c>
      <c r="D115" s="101">
        <f>3100000*1.2</f>
        <v>3720000</v>
      </c>
      <c r="E115" s="329">
        <f t="shared" si="29"/>
        <v>3720000</v>
      </c>
      <c r="F115" s="628"/>
      <c r="G115" s="630"/>
      <c r="H115" s="633"/>
      <c r="I115" s="633"/>
      <c r="J115" s="633"/>
      <c r="K115" s="365"/>
      <c r="L115" s="166"/>
      <c r="M115" s="166"/>
      <c r="P115" s="347"/>
    </row>
    <row r="116" spans="1:16" s="110" customFormat="1" outlineLevel="1">
      <c r="A116" s="114" t="s">
        <v>185</v>
      </c>
      <c r="B116" s="108"/>
      <c r="C116" s="108">
        <v>1</v>
      </c>
      <c r="D116" s="101">
        <f>750000*1.2</f>
        <v>900000</v>
      </c>
      <c r="E116" s="329">
        <f t="shared" si="29"/>
        <v>900000</v>
      </c>
      <c r="F116" s="628"/>
      <c r="G116" s="630"/>
      <c r="H116" s="633"/>
      <c r="I116" s="633"/>
      <c r="J116" s="633"/>
      <c r="K116" s="365"/>
      <c r="L116" s="166"/>
      <c r="M116" s="166"/>
      <c r="P116" s="347"/>
    </row>
    <row r="117" spans="1:16" s="110" customFormat="1" outlineLevel="1">
      <c r="A117" s="114" t="s">
        <v>232</v>
      </c>
      <c r="B117" s="108"/>
      <c r="C117" s="108">
        <v>1</v>
      </c>
      <c r="D117" s="101">
        <f>130000*1.2</f>
        <v>156000</v>
      </c>
      <c r="E117" s="329">
        <f t="shared" si="29"/>
        <v>156000</v>
      </c>
      <c r="F117" s="628"/>
      <c r="G117" s="630"/>
      <c r="H117" s="633"/>
      <c r="I117" s="633"/>
      <c r="J117" s="633"/>
      <c r="K117" s="365"/>
      <c r="L117" s="166"/>
      <c r="M117" s="166"/>
      <c r="P117" s="347"/>
    </row>
    <row r="118" spans="1:16" s="110" customFormat="1" outlineLevel="1">
      <c r="A118" s="114" t="s">
        <v>187</v>
      </c>
      <c r="B118" s="108"/>
      <c r="C118" s="108">
        <v>1</v>
      </c>
      <c r="D118" s="101">
        <f>65000*1.2</f>
        <v>78000</v>
      </c>
      <c r="E118" s="329">
        <f t="shared" ref="E118:E121" si="30">+C118*D118</f>
        <v>78000</v>
      </c>
      <c r="F118" s="628"/>
      <c r="G118" s="630"/>
      <c r="H118" s="633"/>
      <c r="I118" s="633"/>
      <c r="J118" s="633"/>
      <c r="K118" s="365"/>
      <c r="L118" s="166"/>
      <c r="M118" s="166"/>
      <c r="P118" s="347"/>
    </row>
    <row r="119" spans="1:16" s="110" customFormat="1" outlineLevel="1">
      <c r="A119" s="114" t="s">
        <v>188</v>
      </c>
      <c r="B119" s="108"/>
      <c r="C119" s="108">
        <v>1</v>
      </c>
      <c r="D119" s="101">
        <f>80000*1.2</f>
        <v>96000</v>
      </c>
      <c r="E119" s="329">
        <f t="shared" si="30"/>
        <v>96000</v>
      </c>
      <c r="F119" s="628"/>
      <c r="G119" s="630"/>
      <c r="H119" s="633"/>
      <c r="I119" s="633"/>
      <c r="J119" s="633"/>
      <c r="K119" s="365"/>
      <c r="L119" s="166"/>
      <c r="M119" s="166"/>
      <c r="P119" s="347"/>
    </row>
    <row r="120" spans="1:16" s="110" customFormat="1" outlineLevel="1">
      <c r="A120" s="114" t="s">
        <v>189</v>
      </c>
      <c r="B120" s="108"/>
      <c r="C120" s="108">
        <v>1</v>
      </c>
      <c r="D120" s="101">
        <f>65000*1.2</f>
        <v>78000</v>
      </c>
      <c r="E120" s="329">
        <f t="shared" si="30"/>
        <v>78000</v>
      </c>
      <c r="F120" s="628"/>
      <c r="G120" s="630"/>
      <c r="H120" s="633"/>
      <c r="I120" s="633"/>
      <c r="J120" s="633"/>
      <c r="K120" s="365"/>
      <c r="L120" s="166"/>
      <c r="M120" s="166"/>
      <c r="P120" s="347"/>
    </row>
    <row r="121" spans="1:16" s="110" customFormat="1" outlineLevel="1">
      <c r="A121" s="114" t="s">
        <v>233</v>
      </c>
      <c r="B121" s="108"/>
      <c r="C121" s="108">
        <v>1</v>
      </c>
      <c r="D121" s="101">
        <f>55000*1.2</f>
        <v>66000</v>
      </c>
      <c r="E121" s="329">
        <f t="shared" si="30"/>
        <v>66000</v>
      </c>
      <c r="F121" s="628"/>
      <c r="G121" s="630"/>
      <c r="H121" s="633"/>
      <c r="I121" s="633"/>
      <c r="J121" s="633"/>
      <c r="K121" s="365"/>
      <c r="L121" s="166"/>
      <c r="M121" s="166"/>
      <c r="P121" s="347"/>
    </row>
    <row r="122" spans="1:16" s="110" customFormat="1" outlineLevel="1">
      <c r="A122" s="114" t="s">
        <v>191</v>
      </c>
      <c r="B122" s="108"/>
      <c r="C122" s="108">
        <v>1</v>
      </c>
      <c r="D122" s="101">
        <f>60000*1.2</f>
        <v>72000</v>
      </c>
      <c r="E122" s="329">
        <f t="shared" si="29"/>
        <v>72000</v>
      </c>
      <c r="F122" s="628"/>
      <c r="G122" s="631"/>
      <c r="H122" s="634"/>
      <c r="I122" s="634"/>
      <c r="J122" s="634"/>
      <c r="K122" s="365"/>
      <c r="L122" s="166"/>
      <c r="M122" s="166"/>
      <c r="P122" s="347"/>
    </row>
    <row r="123" spans="1:16" s="24" customFormat="1" outlineLevel="1">
      <c r="A123" s="399" t="s">
        <v>234</v>
      </c>
      <c r="B123" s="400" t="s">
        <v>144</v>
      </c>
      <c r="C123" s="400">
        <v>1</v>
      </c>
      <c r="D123" s="401">
        <v>3500000</v>
      </c>
      <c r="E123" s="402">
        <f t="shared" si="29"/>
        <v>3500000</v>
      </c>
      <c r="F123" s="486"/>
      <c r="G123" s="493">
        <f>+$E123*G124</f>
        <v>1225000</v>
      </c>
      <c r="H123" s="494">
        <f t="shared" ref="H123:J123" si="31">+$E123*H124</f>
        <v>175000</v>
      </c>
      <c r="I123" s="494">
        <f t="shared" si="31"/>
        <v>1680000</v>
      </c>
      <c r="J123" s="494">
        <f t="shared" si="31"/>
        <v>420000</v>
      </c>
      <c r="K123" s="489"/>
      <c r="L123" s="168"/>
      <c r="M123" s="168"/>
      <c r="N123" s="495">
        <v>0</v>
      </c>
      <c r="O123" s="317">
        <f>+N123-E123</f>
        <v>-3500000</v>
      </c>
      <c r="P123" s="318"/>
    </row>
    <row r="124" spans="1:16" s="110" customFormat="1" outlineLevel="1">
      <c r="A124" s="107"/>
      <c r="B124" s="108"/>
      <c r="C124" s="108"/>
      <c r="D124" s="101"/>
      <c r="E124" s="329"/>
      <c r="F124" s="351"/>
      <c r="G124" s="366">
        <v>0.35</v>
      </c>
      <c r="H124" s="367">
        <v>0.05</v>
      </c>
      <c r="I124" s="367">
        <v>0.48</v>
      </c>
      <c r="J124" s="367">
        <v>0.12</v>
      </c>
      <c r="K124" s="368"/>
      <c r="L124" s="166"/>
      <c r="M124" s="166"/>
      <c r="P124" s="347"/>
    </row>
    <row r="125" spans="1:16" s="137" customFormat="1" outlineLevel="1">
      <c r="A125" s="115" t="s">
        <v>195</v>
      </c>
      <c r="B125" s="116"/>
      <c r="C125" s="116"/>
      <c r="D125" s="118"/>
      <c r="E125" s="350">
        <f>SUM(E126:E136)</f>
        <v>2745869.9999999995</v>
      </c>
      <c r="F125" s="351"/>
      <c r="G125" s="360">
        <f>+$E125*G126</f>
        <v>1461525.0722732763</v>
      </c>
      <c r="H125" s="361">
        <f>+$E125*H126</f>
        <v>0</v>
      </c>
      <c r="I125" s="361">
        <f>+$E125*I126</f>
        <v>1015962.2775130628</v>
      </c>
      <c r="J125" s="361">
        <f>+$E125*J126</f>
        <v>268382.65021366067</v>
      </c>
      <c r="K125" s="362"/>
      <c r="L125" s="363"/>
      <c r="M125" s="363"/>
      <c r="P125" s="364"/>
    </row>
    <row r="126" spans="1:16" s="110" customFormat="1" outlineLevel="1">
      <c r="A126" s="107" t="s">
        <v>214</v>
      </c>
      <c r="B126" s="108" t="s">
        <v>144</v>
      </c>
      <c r="C126" s="108">
        <v>10</v>
      </c>
      <c r="D126" s="109">
        <f>1.13*100000</f>
        <v>112999.99999999999</v>
      </c>
      <c r="E126" s="329">
        <f t="shared" ref="E126:E129" si="32">+C126*D126</f>
        <v>1129999.9999999998</v>
      </c>
      <c r="F126" s="613"/>
      <c r="G126" s="636">
        <v>0.53226302493318201</v>
      </c>
      <c r="H126" s="639">
        <v>0</v>
      </c>
      <c r="I126" s="639">
        <v>0.36999649565094594</v>
      </c>
      <c r="J126" s="639">
        <v>9.7740479415872106E-2</v>
      </c>
      <c r="K126" s="369"/>
      <c r="L126" s="166"/>
      <c r="M126" s="166"/>
      <c r="P126" s="347"/>
    </row>
    <row r="127" spans="1:16" s="110" customFormat="1" outlineLevel="1">
      <c r="A127" s="107" t="s">
        <v>215</v>
      </c>
      <c r="B127" s="108" t="s">
        <v>144</v>
      </c>
      <c r="C127" s="108">
        <v>3</v>
      </c>
      <c r="D127" s="109">
        <f>1.13*75000</f>
        <v>84749.999999999985</v>
      </c>
      <c r="E127" s="329">
        <f t="shared" si="32"/>
        <v>254249.99999999994</v>
      </c>
      <c r="F127" s="613"/>
      <c r="G127" s="637"/>
      <c r="H127" s="640"/>
      <c r="I127" s="640"/>
      <c r="J127" s="640"/>
      <c r="K127" s="369"/>
      <c r="L127" s="166"/>
      <c r="M127" s="166"/>
      <c r="P127" s="347"/>
    </row>
    <row r="128" spans="1:16" s="110" customFormat="1" outlineLevel="1">
      <c r="A128" s="107" t="s">
        <v>216</v>
      </c>
      <c r="B128" s="108" t="s">
        <v>144</v>
      </c>
      <c r="C128" s="108">
        <v>2</v>
      </c>
      <c r="D128" s="109">
        <f>1.13*22000</f>
        <v>24859.999999999996</v>
      </c>
      <c r="E128" s="329">
        <f t="shared" si="32"/>
        <v>49719.999999999993</v>
      </c>
      <c r="F128" s="613"/>
      <c r="G128" s="637"/>
      <c r="H128" s="640"/>
      <c r="I128" s="640"/>
      <c r="J128" s="640"/>
      <c r="K128" s="369"/>
      <c r="L128" s="166"/>
      <c r="M128" s="166"/>
      <c r="P128" s="347"/>
    </row>
    <row r="129" spans="1:35" s="110" customFormat="1" outlineLevel="1">
      <c r="A129" s="107" t="s">
        <v>217</v>
      </c>
      <c r="B129" s="108" t="s">
        <v>144</v>
      </c>
      <c r="C129" s="108">
        <v>2</v>
      </c>
      <c r="D129" s="109">
        <f>1.13*50000</f>
        <v>56499.999999999993</v>
      </c>
      <c r="E129" s="329">
        <f t="shared" si="32"/>
        <v>112999.99999999999</v>
      </c>
      <c r="F129" s="613"/>
      <c r="G129" s="637"/>
      <c r="H129" s="640"/>
      <c r="I129" s="640"/>
      <c r="J129" s="640"/>
      <c r="K129" s="369"/>
      <c r="L129" s="166"/>
      <c r="M129" s="166"/>
      <c r="P129" s="347"/>
    </row>
    <row r="130" spans="1:35" s="110" customFormat="1" outlineLevel="1">
      <c r="A130" s="107" t="s">
        <v>218</v>
      </c>
      <c r="B130" s="108" t="s">
        <v>144</v>
      </c>
      <c r="C130" s="108">
        <v>1</v>
      </c>
      <c r="D130" s="109">
        <v>150000</v>
      </c>
      <c r="E130" s="329">
        <f t="shared" ref="E130:E136" si="33">+D130*C130</f>
        <v>150000</v>
      </c>
      <c r="F130" s="613"/>
      <c r="G130" s="637"/>
      <c r="H130" s="640"/>
      <c r="I130" s="640"/>
      <c r="J130" s="640"/>
      <c r="K130" s="369"/>
      <c r="L130" s="166"/>
      <c r="M130" s="166"/>
      <c r="P130" s="347"/>
    </row>
    <row r="131" spans="1:35" s="110" customFormat="1" outlineLevel="1">
      <c r="A131" s="107" t="s">
        <v>200</v>
      </c>
      <c r="B131" s="108" t="s">
        <v>144</v>
      </c>
      <c r="C131" s="108">
        <v>1</v>
      </c>
      <c r="D131" s="109">
        <v>115000</v>
      </c>
      <c r="E131" s="329">
        <f t="shared" si="33"/>
        <v>115000</v>
      </c>
      <c r="F131" s="613"/>
      <c r="G131" s="637"/>
      <c r="H131" s="640"/>
      <c r="I131" s="640"/>
      <c r="J131" s="640"/>
      <c r="K131" s="369"/>
      <c r="L131" s="166"/>
      <c r="M131" s="166"/>
      <c r="P131" s="347"/>
    </row>
    <row r="132" spans="1:35" s="110" customFormat="1" outlineLevel="1">
      <c r="A132" s="107" t="s">
        <v>201</v>
      </c>
      <c r="B132" s="108" t="s">
        <v>144</v>
      </c>
      <c r="C132" s="108">
        <v>1</v>
      </c>
      <c r="D132" s="109">
        <v>25000</v>
      </c>
      <c r="E132" s="329">
        <f t="shared" si="33"/>
        <v>25000</v>
      </c>
      <c r="F132" s="613"/>
      <c r="G132" s="637"/>
      <c r="H132" s="640"/>
      <c r="I132" s="640"/>
      <c r="J132" s="640"/>
      <c r="K132" s="369"/>
      <c r="L132" s="166"/>
      <c r="M132" s="166"/>
      <c r="P132" s="347"/>
    </row>
    <row r="133" spans="1:35" s="110" customFormat="1" outlineLevel="1">
      <c r="A133" s="107" t="s">
        <v>202</v>
      </c>
      <c r="B133" s="108" t="s">
        <v>144</v>
      </c>
      <c r="C133" s="108">
        <v>6</v>
      </c>
      <c r="D133" s="109">
        <v>2000</v>
      </c>
      <c r="E133" s="329">
        <f t="shared" si="33"/>
        <v>12000</v>
      </c>
      <c r="F133" s="613"/>
      <c r="G133" s="637"/>
      <c r="H133" s="640"/>
      <c r="I133" s="640"/>
      <c r="J133" s="640"/>
      <c r="K133" s="369"/>
      <c r="L133" s="166"/>
      <c r="M133" s="166"/>
      <c r="P133" s="347"/>
    </row>
    <row r="134" spans="1:35" s="110" customFormat="1" outlineLevel="2">
      <c r="A134" s="107" t="s">
        <v>219</v>
      </c>
      <c r="B134" s="108" t="s">
        <v>144</v>
      </c>
      <c r="C134" s="108">
        <v>9</v>
      </c>
      <c r="D134" s="109">
        <f>1.13*70000</f>
        <v>79099.999999999985</v>
      </c>
      <c r="E134" s="329">
        <f t="shared" ref="E134" si="34">+C134*D134</f>
        <v>711899.99999999988</v>
      </c>
      <c r="F134" s="613"/>
      <c r="G134" s="637"/>
      <c r="H134" s="640"/>
      <c r="I134" s="640"/>
      <c r="J134" s="640"/>
      <c r="K134" s="369"/>
      <c r="L134" s="166"/>
      <c r="M134" s="166"/>
      <c r="P134" s="347"/>
    </row>
    <row r="135" spans="1:35" s="110" customFormat="1" outlineLevel="1">
      <c r="A135" s="107" t="s">
        <v>203</v>
      </c>
      <c r="B135" s="108" t="s">
        <v>144</v>
      </c>
      <c r="C135" s="108">
        <v>1</v>
      </c>
      <c r="D135" s="109">
        <v>25000</v>
      </c>
      <c r="E135" s="329">
        <f t="shared" si="33"/>
        <v>25000</v>
      </c>
      <c r="F135" s="613"/>
      <c r="G135" s="637"/>
      <c r="H135" s="640"/>
      <c r="I135" s="640"/>
      <c r="J135" s="640"/>
      <c r="K135" s="369"/>
      <c r="L135" s="166"/>
      <c r="M135" s="166"/>
      <c r="P135" s="347"/>
    </row>
    <row r="136" spans="1:35" s="24" customFormat="1" outlineLevel="1">
      <c r="A136" s="480" t="s">
        <v>204</v>
      </c>
      <c r="B136" s="112" t="s">
        <v>144</v>
      </c>
      <c r="C136" s="112">
        <v>1</v>
      </c>
      <c r="D136" s="481">
        <v>160000</v>
      </c>
      <c r="E136" s="312">
        <f t="shared" si="33"/>
        <v>160000</v>
      </c>
      <c r="F136" s="635"/>
      <c r="G136" s="638"/>
      <c r="H136" s="641"/>
      <c r="I136" s="641"/>
      <c r="J136" s="641"/>
      <c r="K136" s="496"/>
      <c r="L136" s="168"/>
      <c r="M136" s="168"/>
      <c r="N136" s="24">
        <v>0</v>
      </c>
      <c r="O136" s="317">
        <f>+N136-E136</f>
        <v>-160000</v>
      </c>
      <c r="P136" s="318"/>
    </row>
    <row r="137" spans="1:35" s="119" customFormat="1">
      <c r="A137" s="370" t="s">
        <v>235</v>
      </c>
      <c r="B137" s="355" t="s">
        <v>17</v>
      </c>
      <c r="C137" s="355"/>
      <c r="D137" s="356"/>
      <c r="E137" s="371"/>
      <c r="F137" s="372">
        <f>+SUM(E138:E139)</f>
        <v>666500</v>
      </c>
      <c r="G137" s="373">
        <f>+G138+G139</f>
        <v>311575</v>
      </c>
      <c r="H137" s="373">
        <f t="shared" ref="H137:J137" si="35">+H138+H139</f>
        <v>60000</v>
      </c>
      <c r="I137" s="373">
        <f t="shared" si="35"/>
        <v>228275</v>
      </c>
      <c r="J137" s="373">
        <f t="shared" si="35"/>
        <v>66650</v>
      </c>
      <c r="K137" s="362"/>
      <c r="L137" s="374">
        <v>2</v>
      </c>
      <c r="M137" s="374" t="s">
        <v>142</v>
      </c>
      <c r="N137" s="375">
        <f>+F137-E143</f>
        <v>576500</v>
      </c>
      <c r="O137" s="375">
        <f>+N137-F137</f>
        <v>-90000</v>
      </c>
      <c r="P137" s="364">
        <v>2.5</v>
      </c>
      <c r="Q137" s="376"/>
      <c r="R137" s="376"/>
      <c r="S137" s="376"/>
      <c r="T137" s="376"/>
      <c r="U137" s="376"/>
      <c r="V137" s="376"/>
      <c r="W137" s="376"/>
      <c r="X137" s="376"/>
      <c r="Y137" s="376"/>
      <c r="Z137" s="376"/>
      <c r="AA137" s="376"/>
      <c r="AB137" s="376"/>
      <c r="AC137" s="376"/>
      <c r="AD137" s="376"/>
      <c r="AE137" s="376"/>
      <c r="AF137" s="376"/>
      <c r="AG137" s="376"/>
      <c r="AH137" s="376"/>
      <c r="AI137" s="376"/>
    </row>
    <row r="138" spans="1:35" s="110" customFormat="1" outlineLevel="1">
      <c r="A138" s="114" t="s">
        <v>236</v>
      </c>
      <c r="B138" s="108"/>
      <c r="C138" s="108">
        <v>1</v>
      </c>
      <c r="D138" s="109">
        <v>100000</v>
      </c>
      <c r="E138" s="308">
        <f t="shared" ref="E138" si="36">+D138*C138</f>
        <v>100000</v>
      </c>
      <c r="F138" s="377"/>
      <c r="G138" s="378"/>
      <c r="H138" s="379">
        <v>60000</v>
      </c>
      <c r="I138" s="379">
        <v>30000</v>
      </c>
      <c r="J138" s="379">
        <v>10000</v>
      </c>
      <c r="K138" s="380"/>
      <c r="L138" s="166"/>
      <c r="M138" s="166"/>
      <c r="P138" s="347"/>
    </row>
    <row r="139" spans="1:35" s="110" customFormat="1" outlineLevel="1">
      <c r="A139" s="381" t="s">
        <v>195</v>
      </c>
      <c r="B139" s="116" t="s">
        <v>17</v>
      </c>
      <c r="C139" s="108"/>
      <c r="D139" s="109"/>
      <c r="E139" s="353">
        <f>+SUMPRODUCT(C140:C143,D140:D143)</f>
        <v>566500</v>
      </c>
      <c r="F139" s="382"/>
      <c r="G139" s="378">
        <f>+$E139*G140</f>
        <v>311575</v>
      </c>
      <c r="H139" s="379">
        <f t="shared" ref="H139" si="37">+$E139*H141</f>
        <v>0</v>
      </c>
      <c r="I139" s="379">
        <f>+$E139*I140</f>
        <v>198275</v>
      </c>
      <c r="J139" s="379">
        <f>+$E139*J140</f>
        <v>56650</v>
      </c>
      <c r="K139" s="380"/>
      <c r="L139" s="383"/>
      <c r="M139" s="166"/>
      <c r="P139" s="347"/>
    </row>
    <row r="140" spans="1:35" s="110" customFormat="1" outlineLevel="1">
      <c r="A140" s="384" t="s">
        <v>237</v>
      </c>
      <c r="B140" s="108" t="s">
        <v>144</v>
      </c>
      <c r="C140" s="108">
        <v>2</v>
      </c>
      <c r="D140" s="109">
        <f>1.13*125000</f>
        <v>141250</v>
      </c>
      <c r="E140" s="329">
        <f t="shared" ref="E140:E143" si="38">+D140*C140</f>
        <v>282500</v>
      </c>
      <c r="F140" s="642"/>
      <c r="G140" s="644">
        <v>0.55000000000000004</v>
      </c>
      <c r="H140" s="647"/>
      <c r="I140" s="650">
        <v>0.35</v>
      </c>
      <c r="J140" s="650">
        <v>0.1</v>
      </c>
      <c r="K140" s="385"/>
      <c r="L140" s="383"/>
      <c r="M140" s="166"/>
      <c r="P140" s="347"/>
    </row>
    <row r="141" spans="1:35" s="110" customFormat="1" outlineLevel="2">
      <c r="A141" s="384" t="s">
        <v>238</v>
      </c>
      <c r="B141" s="108" t="s">
        <v>144</v>
      </c>
      <c r="C141" s="108">
        <v>1</v>
      </c>
      <c r="D141" s="109">
        <v>170000</v>
      </c>
      <c r="E141" s="329">
        <f t="shared" si="38"/>
        <v>170000</v>
      </c>
      <c r="F141" s="642"/>
      <c r="G141" s="645"/>
      <c r="H141" s="648"/>
      <c r="I141" s="651"/>
      <c r="J141" s="651"/>
      <c r="K141" s="385"/>
      <c r="L141" s="386"/>
      <c r="M141" s="386"/>
      <c r="P141" s="347"/>
    </row>
    <row r="142" spans="1:35" s="110" customFormat="1" outlineLevel="2">
      <c r="A142" s="384" t="s">
        <v>239</v>
      </c>
      <c r="B142" s="108" t="s">
        <v>144</v>
      </c>
      <c r="C142" s="108">
        <f>4*3</f>
        <v>12</v>
      </c>
      <c r="D142" s="109">
        <v>2000</v>
      </c>
      <c r="E142" s="329">
        <f t="shared" si="38"/>
        <v>24000</v>
      </c>
      <c r="F142" s="642"/>
      <c r="G142" s="645"/>
      <c r="H142" s="648"/>
      <c r="I142" s="651"/>
      <c r="J142" s="651"/>
      <c r="K142" s="385"/>
      <c r="L142" s="166"/>
      <c r="M142" s="166"/>
      <c r="P142" s="347"/>
    </row>
    <row r="143" spans="1:35" s="24" customFormat="1" outlineLevel="2">
      <c r="A143" s="497" t="s">
        <v>204</v>
      </c>
      <c r="B143" s="112" t="s">
        <v>144</v>
      </c>
      <c r="C143" s="112">
        <v>1</v>
      </c>
      <c r="D143" s="481">
        <v>90000</v>
      </c>
      <c r="E143" s="312">
        <f t="shared" si="38"/>
        <v>90000</v>
      </c>
      <c r="F143" s="643"/>
      <c r="G143" s="646"/>
      <c r="H143" s="649"/>
      <c r="I143" s="652"/>
      <c r="J143" s="652"/>
      <c r="K143" s="482"/>
      <c r="L143" s="168"/>
      <c r="M143" s="168"/>
      <c r="P143" s="318"/>
    </row>
    <row r="144" spans="1:35" s="82" customFormat="1">
      <c r="A144" s="354" t="s">
        <v>240</v>
      </c>
      <c r="B144" s="355"/>
      <c r="C144" s="355"/>
      <c r="D144" s="356"/>
      <c r="E144" s="357"/>
      <c r="F144" s="372">
        <f>SUM(E145:E157)</f>
        <v>7871800</v>
      </c>
      <c r="G144" s="387">
        <f>+$F144*G145</f>
        <v>3148720</v>
      </c>
      <c r="H144" s="387">
        <f t="shared" ref="H144:J144" si="39">+$F144*H145</f>
        <v>1180770</v>
      </c>
      <c r="I144" s="387">
        <f t="shared" si="39"/>
        <v>2755130</v>
      </c>
      <c r="J144" s="387">
        <f t="shared" si="39"/>
        <v>787180</v>
      </c>
      <c r="K144" s="380"/>
      <c r="L144" s="374">
        <v>2</v>
      </c>
      <c r="M144" s="374" t="s">
        <v>150</v>
      </c>
      <c r="N144" s="375">
        <f>SUM(N145:N157)</f>
        <v>4511800</v>
      </c>
      <c r="O144" s="375">
        <f>+N144-F144</f>
        <v>-3360000</v>
      </c>
      <c r="P144" s="239">
        <v>2.7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outlineLevel="1">
      <c r="A145" s="111" t="s">
        <v>241</v>
      </c>
      <c r="B145" s="84" t="s">
        <v>144</v>
      </c>
      <c r="C145" s="84">
        <v>22</v>
      </c>
      <c r="D145" s="106">
        <v>12000</v>
      </c>
      <c r="E145" s="329">
        <f t="shared" ref="E145:E153" si="40">+D145*C145</f>
        <v>264000</v>
      </c>
      <c r="F145" s="244"/>
      <c r="G145" s="583">
        <v>0.4</v>
      </c>
      <c r="H145" s="586">
        <v>0.15</v>
      </c>
      <c r="I145" s="586">
        <v>0.35</v>
      </c>
      <c r="J145" s="586">
        <v>0.1</v>
      </c>
      <c r="K145" s="337"/>
      <c r="N145" s="122">
        <f>+E145</f>
        <v>264000</v>
      </c>
    </row>
    <row r="146" spans="1:35" outlineLevel="1">
      <c r="A146" s="111" t="s">
        <v>242</v>
      </c>
      <c r="B146" s="84" t="s">
        <v>144</v>
      </c>
      <c r="C146" s="84">
        <v>1</v>
      </c>
      <c r="D146" s="106">
        <v>34000</v>
      </c>
      <c r="E146" s="329">
        <f t="shared" si="40"/>
        <v>34000</v>
      </c>
      <c r="F146" s="245"/>
      <c r="G146" s="607"/>
      <c r="H146" s="605"/>
      <c r="I146" s="605"/>
      <c r="J146" s="605"/>
      <c r="K146" s="337"/>
      <c r="N146" s="122">
        <f t="shared" ref="N146:N153" si="41">+E146</f>
        <v>34000</v>
      </c>
    </row>
    <row r="147" spans="1:35" outlineLevel="1">
      <c r="A147" s="111" t="s">
        <v>243</v>
      </c>
      <c r="B147" s="84" t="s">
        <v>144</v>
      </c>
      <c r="C147" s="84">
        <v>22</v>
      </c>
      <c r="D147" s="106">
        <v>1200</v>
      </c>
      <c r="E147" s="329">
        <f t="shared" si="40"/>
        <v>26400</v>
      </c>
      <c r="F147" s="245"/>
      <c r="G147" s="607"/>
      <c r="H147" s="605"/>
      <c r="I147" s="605"/>
      <c r="J147" s="605"/>
      <c r="K147" s="337"/>
      <c r="N147" s="122">
        <f t="shared" si="41"/>
        <v>26400</v>
      </c>
    </row>
    <row r="148" spans="1:35" outlineLevel="1">
      <c r="A148" s="111" t="s">
        <v>244</v>
      </c>
      <c r="B148" s="84" t="s">
        <v>144</v>
      </c>
      <c r="C148" s="84">
        <v>35</v>
      </c>
      <c r="D148" s="106">
        <v>2600</v>
      </c>
      <c r="E148" s="329">
        <f t="shared" si="40"/>
        <v>91000</v>
      </c>
      <c r="F148" s="245"/>
      <c r="G148" s="607"/>
      <c r="H148" s="605"/>
      <c r="I148" s="605"/>
      <c r="J148" s="605"/>
      <c r="K148" s="337"/>
      <c r="N148" s="122">
        <f t="shared" si="41"/>
        <v>91000</v>
      </c>
    </row>
    <row r="149" spans="1:35" outlineLevel="1">
      <c r="A149" s="111" t="s">
        <v>245</v>
      </c>
      <c r="B149" s="84" t="s">
        <v>144</v>
      </c>
      <c r="C149" s="84">
        <v>35</v>
      </c>
      <c r="D149" s="106">
        <v>1000</v>
      </c>
      <c r="E149" s="329">
        <f t="shared" si="40"/>
        <v>35000</v>
      </c>
      <c r="F149" s="245"/>
      <c r="G149" s="607"/>
      <c r="H149" s="605"/>
      <c r="I149" s="605"/>
      <c r="J149" s="605"/>
      <c r="K149" s="337"/>
      <c r="N149" s="122">
        <f t="shared" si="41"/>
        <v>35000</v>
      </c>
    </row>
    <row r="150" spans="1:35" outlineLevel="1">
      <c r="A150" s="111" t="s">
        <v>246</v>
      </c>
      <c r="B150" s="84" t="s">
        <v>144</v>
      </c>
      <c r="C150" s="84">
        <v>22</v>
      </c>
      <c r="D150" s="106">
        <v>1200</v>
      </c>
      <c r="E150" s="329">
        <f t="shared" si="40"/>
        <v>26400</v>
      </c>
      <c r="F150" s="245"/>
      <c r="G150" s="607"/>
      <c r="H150" s="605"/>
      <c r="I150" s="605"/>
      <c r="J150" s="605"/>
      <c r="K150" s="337"/>
      <c r="N150" s="122">
        <f t="shared" si="41"/>
        <v>26400</v>
      </c>
    </row>
    <row r="151" spans="1:35" outlineLevel="1">
      <c r="A151" s="111" t="s">
        <v>247</v>
      </c>
      <c r="B151" s="84" t="s">
        <v>144</v>
      </c>
      <c r="C151" s="84">
        <v>1</v>
      </c>
      <c r="D151" s="106">
        <v>130000</v>
      </c>
      <c r="E151" s="329">
        <f t="shared" si="40"/>
        <v>130000</v>
      </c>
      <c r="F151" s="245"/>
      <c r="G151" s="607"/>
      <c r="H151" s="605"/>
      <c r="I151" s="605"/>
      <c r="J151" s="605"/>
      <c r="K151" s="337"/>
      <c r="N151" s="122">
        <f t="shared" si="41"/>
        <v>130000</v>
      </c>
    </row>
    <row r="152" spans="1:35" outlineLevel="1">
      <c r="A152" s="111" t="s">
        <v>248</v>
      </c>
      <c r="B152" s="84" t="s">
        <v>144</v>
      </c>
      <c r="C152" s="84">
        <v>1</v>
      </c>
      <c r="D152" s="106">
        <v>190000</v>
      </c>
      <c r="E152" s="329">
        <f t="shared" si="40"/>
        <v>190000</v>
      </c>
      <c r="F152" s="245"/>
      <c r="G152" s="607"/>
      <c r="H152" s="605"/>
      <c r="I152" s="605"/>
      <c r="J152" s="605"/>
      <c r="K152" s="337"/>
      <c r="N152" s="122">
        <f t="shared" si="41"/>
        <v>190000</v>
      </c>
    </row>
    <row r="153" spans="1:35" outlineLevel="1">
      <c r="A153" s="111" t="s">
        <v>249</v>
      </c>
      <c r="B153" s="84" t="s">
        <v>144</v>
      </c>
      <c r="C153" s="84">
        <v>1</v>
      </c>
      <c r="D153" s="106">
        <v>125000</v>
      </c>
      <c r="E153" s="329">
        <f t="shared" si="40"/>
        <v>125000</v>
      </c>
      <c r="F153" s="245"/>
      <c r="G153" s="607"/>
      <c r="H153" s="605"/>
      <c r="I153" s="605"/>
      <c r="J153" s="605"/>
      <c r="K153" s="337"/>
      <c r="N153" s="122">
        <f t="shared" si="41"/>
        <v>125000</v>
      </c>
    </row>
    <row r="154" spans="1:35" s="24" customFormat="1" ht="15.75" customHeight="1" outlineLevel="1">
      <c r="A154" s="480" t="s">
        <v>250</v>
      </c>
      <c r="B154" s="112"/>
      <c r="C154" s="112"/>
      <c r="D154" s="481"/>
      <c r="E154" s="491">
        <v>2150000</v>
      </c>
      <c r="F154" s="486"/>
      <c r="G154" s="607"/>
      <c r="H154" s="605"/>
      <c r="I154" s="605"/>
      <c r="J154" s="605"/>
      <c r="K154" s="482"/>
      <c r="L154" s="168"/>
      <c r="M154" s="168"/>
      <c r="N154" s="484">
        <v>1590000</v>
      </c>
      <c r="O154" s="317">
        <f>+N154-E154</f>
        <v>-560000</v>
      </c>
      <c r="P154" s="318"/>
    </row>
    <row r="155" spans="1:35" s="24" customFormat="1" outlineLevel="1">
      <c r="A155" s="480" t="s">
        <v>251</v>
      </c>
      <c r="B155" s="112" t="s">
        <v>144</v>
      </c>
      <c r="C155" s="112">
        <v>1</v>
      </c>
      <c r="D155" s="481">
        <v>1050000</v>
      </c>
      <c r="E155" s="312">
        <f t="shared" ref="E155:E157" si="42">+D155*C155</f>
        <v>1050000</v>
      </c>
      <c r="F155" s="486"/>
      <c r="G155" s="607"/>
      <c r="H155" s="605"/>
      <c r="I155" s="605"/>
      <c r="J155" s="605"/>
      <c r="K155" s="482"/>
      <c r="L155" s="168"/>
      <c r="M155" s="168"/>
      <c r="N155" s="317">
        <v>1000000</v>
      </c>
      <c r="O155" s="317">
        <f>+N155-E155</f>
        <v>-50000</v>
      </c>
      <c r="P155" s="318"/>
    </row>
    <row r="156" spans="1:35" s="24" customFormat="1" outlineLevel="1">
      <c r="A156" s="480" t="s">
        <v>252</v>
      </c>
      <c r="B156" s="112" t="s">
        <v>144</v>
      </c>
      <c r="C156" s="112">
        <v>1</v>
      </c>
      <c r="D156" s="481">
        <v>1250000</v>
      </c>
      <c r="E156" s="312">
        <f t="shared" si="42"/>
        <v>1250000</v>
      </c>
      <c r="F156" s="486"/>
      <c r="G156" s="607"/>
      <c r="H156" s="605"/>
      <c r="I156" s="605"/>
      <c r="J156" s="605"/>
      <c r="K156" s="482"/>
      <c r="L156" s="168"/>
      <c r="M156" s="168"/>
      <c r="N156" s="317">
        <v>1000000</v>
      </c>
      <c r="O156" s="317">
        <f>+N156-E156</f>
        <v>-250000</v>
      </c>
      <c r="P156" s="318"/>
    </row>
    <row r="157" spans="1:35" s="24" customFormat="1" outlineLevel="1">
      <c r="A157" s="480" t="s">
        <v>253</v>
      </c>
      <c r="B157" s="112" t="s">
        <v>144</v>
      </c>
      <c r="C157" s="112">
        <v>1</v>
      </c>
      <c r="D157" s="481">
        <v>2500000</v>
      </c>
      <c r="E157" s="312">
        <f t="shared" si="42"/>
        <v>2500000</v>
      </c>
      <c r="F157" s="498"/>
      <c r="G157" s="608"/>
      <c r="H157" s="606"/>
      <c r="I157" s="606"/>
      <c r="J157" s="606"/>
      <c r="K157" s="482"/>
      <c r="L157" s="168"/>
      <c r="M157" s="168"/>
      <c r="N157" s="317">
        <v>0</v>
      </c>
      <c r="O157" s="317">
        <f>+N157-E157</f>
        <v>-2500000</v>
      </c>
      <c r="P157" s="318"/>
    </row>
    <row r="158" spans="1:35" s="82" customFormat="1">
      <c r="A158" s="321" t="s">
        <v>254</v>
      </c>
      <c r="B158" s="296"/>
      <c r="C158" s="296"/>
      <c r="D158" s="297"/>
      <c r="E158" s="295"/>
      <c r="F158" s="348">
        <f>SUM(E159:E160)</f>
        <v>5000000</v>
      </c>
      <c r="G158" s="299">
        <f>+$F158*G159</f>
        <v>2250000</v>
      </c>
      <c r="H158" s="299">
        <f t="shared" ref="H158:J158" si="43">+$F158*H159</f>
        <v>1000000</v>
      </c>
      <c r="I158" s="299">
        <f t="shared" si="43"/>
        <v>1250000</v>
      </c>
      <c r="J158" s="299">
        <f t="shared" si="43"/>
        <v>500000</v>
      </c>
      <c r="K158" s="300"/>
      <c r="L158" s="301">
        <v>2</v>
      </c>
      <c r="M158" s="301" t="s">
        <v>150</v>
      </c>
      <c r="N158" s="388">
        <f>+N159+N160</f>
        <v>1000000</v>
      </c>
      <c r="O158" s="302">
        <f>+N158-F158</f>
        <v>-4000000</v>
      </c>
      <c r="P158" s="239">
        <v>2.7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s="505" customFormat="1" outlineLevel="1">
      <c r="A159" s="499" t="s">
        <v>255</v>
      </c>
      <c r="B159" s="500" t="s">
        <v>17</v>
      </c>
      <c r="C159" s="500">
        <v>1</v>
      </c>
      <c r="D159" s="501">
        <v>2500000</v>
      </c>
      <c r="E159" s="501">
        <f>+D159*C159</f>
        <v>2500000</v>
      </c>
      <c r="F159" s="653"/>
      <c r="G159" s="655">
        <v>0.45</v>
      </c>
      <c r="H159" s="655">
        <v>0.2</v>
      </c>
      <c r="I159" s="655">
        <v>0.25</v>
      </c>
      <c r="J159" s="655">
        <v>0.1</v>
      </c>
      <c r="K159" s="502"/>
      <c r="L159" s="503"/>
      <c r="M159" s="503"/>
      <c r="N159" s="504">
        <v>1000000</v>
      </c>
      <c r="O159" s="317">
        <f>+N159-E159</f>
        <v>-1500000</v>
      </c>
      <c r="P159" s="506"/>
    </row>
    <row r="160" spans="1:35" s="505" customFormat="1" outlineLevel="1">
      <c r="A160" s="499" t="s">
        <v>256</v>
      </c>
      <c r="B160" s="500" t="s">
        <v>17</v>
      </c>
      <c r="C160" s="500">
        <v>1</v>
      </c>
      <c r="D160" s="501">
        <v>2500000</v>
      </c>
      <c r="E160" s="501">
        <f>+D160*C160</f>
        <v>2500000</v>
      </c>
      <c r="F160" s="654"/>
      <c r="G160" s="656"/>
      <c r="H160" s="656"/>
      <c r="I160" s="656"/>
      <c r="J160" s="656"/>
      <c r="K160" s="502"/>
      <c r="L160" s="503"/>
      <c r="M160" s="503"/>
      <c r="N160" s="504">
        <v>0</v>
      </c>
      <c r="O160" s="317">
        <f>+N160-E160</f>
        <v>-2500000</v>
      </c>
      <c r="P160" s="506"/>
    </row>
    <row r="161" spans="1:35" s="82" customFormat="1">
      <c r="A161" s="147" t="s">
        <v>257</v>
      </c>
      <c r="B161" s="148"/>
      <c r="C161" s="148"/>
      <c r="D161" s="149"/>
      <c r="E161" s="150"/>
      <c r="F161" s="389">
        <f>+E162+E167+E173</f>
        <v>12926000</v>
      </c>
      <c r="G161" s="152">
        <f>+G162+G167+G173</f>
        <v>8685720</v>
      </c>
      <c r="H161" s="152">
        <f t="shared" ref="H161:J161" si="44">+H162+H167+H173</f>
        <v>492500</v>
      </c>
      <c r="I161" s="152">
        <f t="shared" si="44"/>
        <v>2455180</v>
      </c>
      <c r="J161" s="152">
        <f t="shared" si="44"/>
        <v>1292600</v>
      </c>
      <c r="K161" s="300"/>
      <c r="L161" s="390">
        <v>1</v>
      </c>
      <c r="M161" s="391" t="s">
        <v>258</v>
      </c>
      <c r="N161" s="392">
        <f>+N162+N167+N173</f>
        <v>12926000</v>
      </c>
      <c r="O161" s="392">
        <f>+N161-F161</f>
        <v>0</v>
      </c>
      <c r="P161" s="239">
        <v>1.1000000000000001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s="5" customFormat="1">
      <c r="A162" s="123" t="s">
        <v>259</v>
      </c>
      <c r="B162" s="98"/>
      <c r="C162" s="98"/>
      <c r="D162" s="99"/>
      <c r="E162" s="339">
        <f>+C163*D163+C164*D164+C165*D165+C166*D166</f>
        <v>9126000</v>
      </c>
      <c r="F162" s="244"/>
      <c r="G162" s="393">
        <f>+($D163*$C163+$D164*$C164)*G163+$C165*$D165*G165+$C166*$D166*G166</f>
        <v>6405720</v>
      </c>
      <c r="H162" s="124">
        <f t="shared" ref="H162:J162" si="45">+($D163*$C163+$D164*$C164)*H163+$C165*$D165*H165+$C166*$D166*H166</f>
        <v>112500</v>
      </c>
      <c r="I162" s="124">
        <f t="shared" si="45"/>
        <v>1695180</v>
      </c>
      <c r="J162" s="124">
        <f t="shared" si="45"/>
        <v>912600</v>
      </c>
      <c r="K162" s="394"/>
      <c r="L162" s="164"/>
      <c r="M162" s="164"/>
      <c r="N162" s="342">
        <f>SUM(N163:N166)</f>
        <v>9126000</v>
      </c>
      <c r="P162" s="239"/>
    </row>
    <row r="163" spans="1:35" outlineLevel="1">
      <c r="A163" s="90" t="s">
        <v>260</v>
      </c>
      <c r="B163" s="84" t="s">
        <v>144</v>
      </c>
      <c r="C163" s="84">
        <v>100</v>
      </c>
      <c r="D163" s="85">
        <v>2500</v>
      </c>
      <c r="E163" s="395">
        <f>+D163*C163</f>
        <v>250000</v>
      </c>
      <c r="F163" s="567"/>
      <c r="G163" s="657">
        <v>0.5</v>
      </c>
      <c r="H163" s="659">
        <v>0.15</v>
      </c>
      <c r="I163" s="659">
        <v>0.25</v>
      </c>
      <c r="J163" s="659">
        <v>0.1</v>
      </c>
      <c r="K163" s="344"/>
      <c r="N163" s="122">
        <f>+E163</f>
        <v>250000</v>
      </c>
    </row>
    <row r="164" spans="1:35" outlineLevel="1">
      <c r="A164" s="90" t="s">
        <v>261</v>
      </c>
      <c r="B164" s="84" t="s">
        <v>144</v>
      </c>
      <c r="C164" s="84">
        <v>10</v>
      </c>
      <c r="D164" s="85">
        <v>50000</v>
      </c>
      <c r="E164" s="395">
        <f t="shared" ref="E164:E166" si="46">+D164*C164</f>
        <v>500000</v>
      </c>
      <c r="F164" s="567"/>
      <c r="G164" s="658"/>
      <c r="H164" s="660"/>
      <c r="I164" s="660"/>
      <c r="J164" s="660"/>
      <c r="K164" s="344"/>
      <c r="N164" s="122">
        <f t="shared" ref="N164" si="47">+E164</f>
        <v>500000</v>
      </c>
    </row>
    <row r="165" spans="1:35" outlineLevel="1">
      <c r="A165" s="90" t="s">
        <v>262</v>
      </c>
      <c r="B165" s="84" t="s">
        <v>144</v>
      </c>
      <c r="C165" s="84">
        <v>1</v>
      </c>
      <c r="D165" s="125">
        <v>1826000</v>
      </c>
      <c r="E165" s="395">
        <f t="shared" si="46"/>
        <v>1826000</v>
      </c>
      <c r="F165" s="567"/>
      <c r="G165" s="396">
        <v>0.72</v>
      </c>
      <c r="H165" s="246"/>
      <c r="I165" s="246">
        <v>0.18</v>
      </c>
      <c r="J165" s="246">
        <v>0.1</v>
      </c>
      <c r="K165" s="344"/>
      <c r="N165" s="122">
        <f>+E165</f>
        <v>1826000</v>
      </c>
    </row>
    <row r="166" spans="1:35" outlineLevel="1">
      <c r="A166" s="90" t="s">
        <v>263</v>
      </c>
      <c r="B166" s="84" t="s">
        <v>144</v>
      </c>
      <c r="C166" s="84">
        <v>1</v>
      </c>
      <c r="D166" s="118">
        <v>6550000</v>
      </c>
      <c r="E166" s="395">
        <f t="shared" si="46"/>
        <v>6550000</v>
      </c>
      <c r="F166" s="567"/>
      <c r="G166" s="396">
        <v>0.72</v>
      </c>
      <c r="H166" s="246"/>
      <c r="I166" s="246">
        <v>0.18</v>
      </c>
      <c r="J166" s="246">
        <v>0.1</v>
      </c>
      <c r="K166" s="344"/>
      <c r="M166" s="397"/>
      <c r="N166" s="122">
        <f>+E166</f>
        <v>6550000</v>
      </c>
    </row>
    <row r="167" spans="1:35" s="5" customFormat="1" outlineLevel="1">
      <c r="A167" s="97" t="s">
        <v>264</v>
      </c>
      <c r="B167" s="98"/>
      <c r="C167" s="98"/>
      <c r="D167" s="104"/>
      <c r="E167" s="398">
        <f>SUM(E168:E172)</f>
        <v>1800000</v>
      </c>
      <c r="F167" s="327"/>
      <c r="G167" s="393">
        <f>+$E167*G168</f>
        <v>1080000</v>
      </c>
      <c r="H167" s="124">
        <f t="shared" ref="H167:J167" si="48">+$E167*H168</f>
        <v>180000</v>
      </c>
      <c r="I167" s="124">
        <f t="shared" si="48"/>
        <v>360000</v>
      </c>
      <c r="J167" s="124">
        <f t="shared" si="48"/>
        <v>180000</v>
      </c>
      <c r="K167" s="394"/>
      <c r="L167" s="164"/>
      <c r="M167" s="164"/>
      <c r="N167" s="342">
        <f>+E167</f>
        <v>1800000</v>
      </c>
      <c r="O167"/>
      <c r="P167" s="239"/>
    </row>
    <row r="168" spans="1:35" hidden="1" outlineLevel="2">
      <c r="A168" s="111" t="s">
        <v>265</v>
      </c>
      <c r="B168" s="84" t="s">
        <v>144</v>
      </c>
      <c r="C168" s="84">
        <v>70</v>
      </c>
      <c r="D168" s="85">
        <v>15000</v>
      </c>
      <c r="E168" s="329">
        <f t="shared" ref="E168:E172" si="49">+D168*C168</f>
        <v>1050000</v>
      </c>
      <c r="F168" s="574"/>
      <c r="G168" s="657">
        <v>0.6</v>
      </c>
      <c r="H168" s="659">
        <v>0.1</v>
      </c>
      <c r="I168" s="659">
        <v>0.2</v>
      </c>
      <c r="J168" s="659">
        <v>0.1</v>
      </c>
      <c r="K168" s="344"/>
    </row>
    <row r="169" spans="1:35" hidden="1" outlineLevel="2">
      <c r="A169" s="111" t="s">
        <v>266</v>
      </c>
      <c r="B169" s="84" t="s">
        <v>144</v>
      </c>
      <c r="C169" s="84">
        <v>20</v>
      </c>
      <c r="D169" s="85">
        <v>20000</v>
      </c>
      <c r="E169" s="329">
        <f t="shared" si="49"/>
        <v>400000</v>
      </c>
      <c r="F169" s="574"/>
      <c r="G169" s="661"/>
      <c r="H169" s="662"/>
      <c r="I169" s="662"/>
      <c r="J169" s="662"/>
      <c r="K169" s="344"/>
    </row>
    <row r="170" spans="1:35" hidden="1" outlineLevel="2">
      <c r="A170" s="111" t="s">
        <v>267</v>
      </c>
      <c r="B170" s="84" t="s">
        <v>144</v>
      </c>
      <c r="C170" s="84">
        <v>20</v>
      </c>
      <c r="D170" s="85">
        <v>2000</v>
      </c>
      <c r="E170" s="329">
        <f t="shared" si="49"/>
        <v>40000</v>
      </c>
      <c r="F170" s="574"/>
      <c r="G170" s="661"/>
      <c r="H170" s="662"/>
      <c r="I170" s="662"/>
      <c r="J170" s="662"/>
      <c r="K170" s="344"/>
    </row>
    <row r="171" spans="1:35" hidden="1" outlineLevel="2">
      <c r="A171" s="111" t="s">
        <v>268</v>
      </c>
      <c r="B171" s="84" t="s">
        <v>144</v>
      </c>
      <c r="C171" s="84">
        <v>140</v>
      </c>
      <c r="D171" s="85">
        <v>1500</v>
      </c>
      <c r="E171" s="329">
        <f t="shared" si="49"/>
        <v>210000</v>
      </c>
      <c r="F171" s="574"/>
      <c r="G171" s="661"/>
      <c r="H171" s="662"/>
      <c r="I171" s="662"/>
      <c r="J171" s="662"/>
      <c r="K171" s="344"/>
    </row>
    <row r="172" spans="1:35" hidden="1" outlineLevel="2">
      <c r="A172" s="111" t="s">
        <v>269</v>
      </c>
      <c r="B172" s="84" t="s">
        <v>144</v>
      </c>
      <c r="C172" s="84">
        <v>1</v>
      </c>
      <c r="D172" s="85">
        <v>100000</v>
      </c>
      <c r="E172" s="329">
        <f t="shared" si="49"/>
        <v>100000</v>
      </c>
      <c r="F172" s="574"/>
      <c r="G172" s="658"/>
      <c r="H172" s="660"/>
      <c r="I172" s="660"/>
      <c r="J172" s="660"/>
      <c r="K172" s="344"/>
    </row>
    <row r="173" spans="1:35" s="137" customFormat="1" outlineLevel="1" collapsed="1">
      <c r="A173" s="115" t="s">
        <v>270</v>
      </c>
      <c r="B173" s="116" t="s">
        <v>17</v>
      </c>
      <c r="C173" s="116">
        <v>1</v>
      </c>
      <c r="D173" s="117">
        <v>2000000</v>
      </c>
      <c r="E173" s="350">
        <f>+D173*C173</f>
        <v>2000000</v>
      </c>
      <c r="F173" s="507"/>
      <c r="G173" s="508">
        <f>+G168*$E173</f>
        <v>1200000</v>
      </c>
      <c r="H173" s="509">
        <f t="shared" ref="H173:J173" si="50">+H168*$E173</f>
        <v>200000</v>
      </c>
      <c r="I173" s="509">
        <f t="shared" si="50"/>
        <v>400000</v>
      </c>
      <c r="J173" s="509">
        <f t="shared" si="50"/>
        <v>200000</v>
      </c>
      <c r="K173" s="510"/>
      <c r="L173" s="363"/>
      <c r="M173" s="363"/>
      <c r="N173" s="511">
        <v>2000000</v>
      </c>
      <c r="P173" s="364"/>
    </row>
    <row r="174" spans="1:35" s="82" customFormat="1">
      <c r="A174" s="147" t="s">
        <v>271</v>
      </c>
      <c r="B174" s="148"/>
      <c r="C174" s="148"/>
      <c r="D174" s="149"/>
      <c r="E174" s="150"/>
      <c r="F174" s="408">
        <f>+E175+E179+E184</f>
        <v>12064500</v>
      </c>
      <c r="G174" s="152">
        <f>+G175+G179+G184</f>
        <v>4817450</v>
      </c>
      <c r="H174" s="152">
        <f>+H175+H179+H184</f>
        <v>3101750</v>
      </c>
      <c r="I174" s="152">
        <f>+I175+I179+I184</f>
        <v>2938850</v>
      </c>
      <c r="J174" s="152">
        <f>+J175+J179+J184</f>
        <v>1206450</v>
      </c>
      <c r="K174" s="300"/>
      <c r="L174" s="390">
        <v>1</v>
      </c>
      <c r="M174" s="390" t="s">
        <v>150</v>
      </c>
      <c r="N174" s="392">
        <f>+N175+N179+N184</f>
        <v>5500000</v>
      </c>
      <c r="O174" s="392">
        <f>+N174-F174</f>
        <v>-6564500</v>
      </c>
      <c r="P174" s="239">
        <v>1.3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s="5" customFormat="1">
      <c r="A175" s="123" t="s">
        <v>259</v>
      </c>
      <c r="B175" s="98"/>
      <c r="C175" s="98"/>
      <c r="D175" s="99"/>
      <c r="E175" s="339">
        <f>+C176*D176+C177*D177+C178*D178</f>
        <v>5954500</v>
      </c>
      <c r="F175" s="244"/>
      <c r="G175" s="393">
        <f>+($D176*$C176+$D177*$C177)*G176+$C178*$D178*G178</f>
        <v>1151450</v>
      </c>
      <c r="H175" s="124">
        <f t="shared" ref="H175:J175" si="51">+($D176*$C176+$D177*$C177)*H176+$C178*$D178*H178</f>
        <v>2490750</v>
      </c>
      <c r="I175" s="124">
        <f t="shared" si="51"/>
        <v>1716850</v>
      </c>
      <c r="J175" s="124">
        <f t="shared" si="51"/>
        <v>595450</v>
      </c>
      <c r="K175" s="394"/>
      <c r="L175" s="164"/>
      <c r="M175" s="164"/>
      <c r="N175" s="409">
        <f>+N176+N177+N178</f>
        <v>1390000</v>
      </c>
      <c r="P175" s="239"/>
    </row>
    <row r="176" spans="1:35" outlineLevel="1">
      <c r="A176" s="90" t="s">
        <v>260</v>
      </c>
      <c r="B176" s="84" t="s">
        <v>144</v>
      </c>
      <c r="C176" s="84">
        <v>156</v>
      </c>
      <c r="D176" s="85">
        <v>2500</v>
      </c>
      <c r="E176" s="329">
        <f t="shared" ref="E176:E178" si="52">+D176*C176</f>
        <v>390000</v>
      </c>
      <c r="F176" s="567"/>
      <c r="G176" s="657">
        <v>0.5</v>
      </c>
      <c r="H176" s="659">
        <v>0.15</v>
      </c>
      <c r="I176" s="659">
        <v>0.25</v>
      </c>
      <c r="J176" s="659">
        <v>0.1</v>
      </c>
      <c r="K176" s="344"/>
      <c r="N176" s="146">
        <f>+E176</f>
        <v>390000</v>
      </c>
    </row>
    <row r="177" spans="1:35" outlineLevel="1">
      <c r="A177" s="90" t="s">
        <v>261</v>
      </c>
      <c r="B177" s="84" t="s">
        <v>144</v>
      </c>
      <c r="C177" s="84">
        <v>20</v>
      </c>
      <c r="D177" s="109">
        <v>50000</v>
      </c>
      <c r="E177" s="329">
        <f t="shared" si="52"/>
        <v>1000000</v>
      </c>
      <c r="F177" s="567"/>
      <c r="G177" s="658"/>
      <c r="H177" s="660"/>
      <c r="I177" s="660"/>
      <c r="J177" s="660"/>
      <c r="K177" s="344"/>
      <c r="N177" s="146">
        <f>+E177</f>
        <v>1000000</v>
      </c>
    </row>
    <row r="178" spans="1:35" s="24" customFormat="1" outlineLevel="1">
      <c r="A178" s="311" t="s">
        <v>272</v>
      </c>
      <c r="B178" s="112" t="s">
        <v>144</v>
      </c>
      <c r="C178" s="112">
        <v>1</v>
      </c>
      <c r="D178" s="512">
        <f>+'[1]RESERVORIO Y DESINFECC'!$D$7-90500</f>
        <v>4564500</v>
      </c>
      <c r="E178" s="312">
        <f t="shared" si="52"/>
        <v>4564500</v>
      </c>
      <c r="F178" s="567"/>
      <c r="G178" s="513">
        <v>0.1</v>
      </c>
      <c r="H178" s="514">
        <v>0.5</v>
      </c>
      <c r="I178" s="514">
        <v>0.3</v>
      </c>
      <c r="J178" s="514">
        <v>0.1</v>
      </c>
      <c r="K178" s="483"/>
      <c r="L178" s="168"/>
      <c r="M178" s="397"/>
      <c r="N178" s="515">
        <v>0</v>
      </c>
      <c r="O178" s="317">
        <f>+N178-E178</f>
        <v>-4564500</v>
      </c>
      <c r="P178" s="318"/>
    </row>
    <row r="179" spans="1:35" s="5" customFormat="1" outlineLevel="1">
      <c r="A179" s="97" t="s">
        <v>264</v>
      </c>
      <c r="B179" s="98"/>
      <c r="C179" s="98"/>
      <c r="D179" s="118"/>
      <c r="E179" s="398">
        <f>SUM(E180:E183)</f>
        <v>2110000</v>
      </c>
      <c r="F179" s="327"/>
      <c r="G179" s="393">
        <f>+$E179*G180</f>
        <v>1266000</v>
      </c>
      <c r="H179" s="124">
        <f t="shared" ref="H179:J179" si="53">+$E179*H180</f>
        <v>211000</v>
      </c>
      <c r="I179" s="124">
        <f t="shared" si="53"/>
        <v>422000</v>
      </c>
      <c r="J179" s="124">
        <f t="shared" si="53"/>
        <v>211000</v>
      </c>
      <c r="K179" s="394"/>
      <c r="L179" s="164"/>
      <c r="M179" s="164"/>
      <c r="N179" s="411">
        <f>+N180+N181+N182+N183</f>
        <v>2110000</v>
      </c>
      <c r="O179"/>
      <c r="P179" s="239"/>
    </row>
    <row r="180" spans="1:35" outlineLevel="2">
      <c r="A180" s="111" t="s">
        <v>265</v>
      </c>
      <c r="B180" s="84" t="s">
        <v>144</v>
      </c>
      <c r="C180" s="84">
        <v>70</v>
      </c>
      <c r="D180" s="109">
        <v>15000</v>
      </c>
      <c r="E180" s="329">
        <f t="shared" ref="E180:E183" si="54">+D180*C180</f>
        <v>1050000</v>
      </c>
      <c r="F180" s="574"/>
      <c r="G180" s="657">
        <v>0.6</v>
      </c>
      <c r="H180" s="659">
        <v>0.1</v>
      </c>
      <c r="I180" s="659">
        <v>0.2</v>
      </c>
      <c r="J180" s="659">
        <v>0.1</v>
      </c>
      <c r="K180" s="344"/>
      <c r="N180" s="410">
        <f>+E180</f>
        <v>1050000</v>
      </c>
    </row>
    <row r="181" spans="1:35" outlineLevel="2">
      <c r="A181" s="111" t="s">
        <v>266</v>
      </c>
      <c r="B181" s="84" t="s">
        <v>144</v>
      </c>
      <c r="C181" s="84">
        <v>30</v>
      </c>
      <c r="D181" s="109">
        <v>20000</v>
      </c>
      <c r="E181" s="329">
        <f t="shared" si="54"/>
        <v>600000</v>
      </c>
      <c r="F181" s="574"/>
      <c r="G181" s="661"/>
      <c r="H181" s="662"/>
      <c r="I181" s="662"/>
      <c r="J181" s="662"/>
      <c r="K181" s="344"/>
      <c r="N181" s="410">
        <f t="shared" ref="N181:N183" si="55">+E181</f>
        <v>600000</v>
      </c>
    </row>
    <row r="182" spans="1:35" outlineLevel="2">
      <c r="A182" s="111" t="s">
        <v>267</v>
      </c>
      <c r="B182" s="84" t="s">
        <v>144</v>
      </c>
      <c r="C182" s="84">
        <v>30</v>
      </c>
      <c r="D182" s="109">
        <v>2000</v>
      </c>
      <c r="E182" s="329">
        <f t="shared" si="54"/>
        <v>60000</v>
      </c>
      <c r="F182" s="574"/>
      <c r="G182" s="661"/>
      <c r="H182" s="662"/>
      <c r="I182" s="662"/>
      <c r="J182" s="662"/>
      <c r="K182" s="344"/>
      <c r="N182" s="410">
        <f t="shared" si="55"/>
        <v>60000</v>
      </c>
    </row>
    <row r="183" spans="1:35" outlineLevel="2">
      <c r="A183" s="111" t="s">
        <v>268</v>
      </c>
      <c r="B183" s="84" t="s">
        <v>144</v>
      </c>
      <c r="C183" s="84">
        <v>200</v>
      </c>
      <c r="D183" s="109">
        <v>2000</v>
      </c>
      <c r="E183" s="329">
        <f t="shared" si="54"/>
        <v>400000</v>
      </c>
      <c r="F183" s="574"/>
      <c r="G183" s="661"/>
      <c r="H183" s="662"/>
      <c r="I183" s="662"/>
      <c r="J183" s="662"/>
      <c r="K183" s="344"/>
      <c r="N183" s="410">
        <f t="shared" si="55"/>
        <v>400000</v>
      </c>
    </row>
    <row r="184" spans="1:35" s="376" customFormat="1" outlineLevel="1">
      <c r="A184" s="399" t="s">
        <v>270</v>
      </c>
      <c r="B184" s="400" t="s">
        <v>17</v>
      </c>
      <c r="C184" s="400">
        <v>1</v>
      </c>
      <c r="D184" s="512">
        <v>4000000</v>
      </c>
      <c r="E184" s="402">
        <f>+D184*C184</f>
        <v>4000000</v>
      </c>
      <c r="F184" s="403"/>
      <c r="G184" s="404">
        <f>+G180*$E184</f>
        <v>2400000</v>
      </c>
      <c r="H184" s="405">
        <f>+H180*$E184</f>
        <v>400000</v>
      </c>
      <c r="I184" s="405">
        <f>+I180*$E184</f>
        <v>800000</v>
      </c>
      <c r="J184" s="405">
        <f>+J180*$E184</f>
        <v>400000</v>
      </c>
      <c r="K184" s="406"/>
      <c r="L184" s="397"/>
      <c r="M184" s="397"/>
      <c r="N184" s="516">
        <v>2000000</v>
      </c>
      <c r="O184" s="317">
        <f>+N184-F184</f>
        <v>2000000</v>
      </c>
      <c r="P184" s="407"/>
    </row>
    <row r="185" spans="1:35" s="82" customFormat="1">
      <c r="A185" s="158" t="s">
        <v>273</v>
      </c>
      <c r="B185" s="159"/>
      <c r="C185" s="159"/>
      <c r="D185" s="160"/>
      <c r="E185" s="161"/>
      <c r="F185" s="412">
        <f>SUM(E186:E187)</f>
        <v>23976586</v>
      </c>
      <c r="G185" s="413">
        <f>+$F185*G186</f>
        <v>14385951.6</v>
      </c>
      <c r="H185" s="413">
        <f t="shared" ref="H185:J185" si="56">+$F185*H186</f>
        <v>2397658.6</v>
      </c>
      <c r="I185" s="413">
        <f t="shared" si="56"/>
        <v>4795317.2</v>
      </c>
      <c r="J185" s="413">
        <f t="shared" si="56"/>
        <v>2397658.6</v>
      </c>
      <c r="K185" s="380"/>
      <c r="L185" s="414">
        <v>1</v>
      </c>
      <c r="M185" s="414" t="s">
        <v>150</v>
      </c>
      <c r="N185" s="415">
        <f>+N186+N187</f>
        <v>3000000</v>
      </c>
      <c r="O185" s="415">
        <f>+N185-F185</f>
        <v>-20976586</v>
      </c>
      <c r="P185" s="239">
        <v>1.3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s="24" customFormat="1" outlineLevel="1">
      <c r="A186" s="311" t="s">
        <v>274</v>
      </c>
      <c r="B186" s="112" t="s">
        <v>17</v>
      </c>
      <c r="C186" s="112">
        <v>1</v>
      </c>
      <c r="D186" s="481">
        <v>6000000</v>
      </c>
      <c r="E186" s="518">
        <f t="shared" ref="E186:E187" si="57">+D186*C186</f>
        <v>6000000</v>
      </c>
      <c r="F186" s="666"/>
      <c r="G186" s="611">
        <v>0.6</v>
      </c>
      <c r="H186" s="611">
        <v>0.1</v>
      </c>
      <c r="I186" s="611">
        <v>0.2</v>
      </c>
      <c r="J186" s="611">
        <v>0.1</v>
      </c>
      <c r="K186" s="492"/>
      <c r="L186" s="168"/>
      <c r="M186" s="168"/>
      <c r="N186" s="484">
        <v>3000000</v>
      </c>
      <c r="O186" s="484">
        <f>+N186-E186</f>
        <v>-3000000</v>
      </c>
      <c r="P186" s="318"/>
    </row>
    <row r="187" spans="1:35" s="24" customFormat="1" outlineLevel="1">
      <c r="A187" s="311" t="s">
        <v>275</v>
      </c>
      <c r="B187" s="112" t="s">
        <v>17</v>
      </c>
      <c r="C187" s="112">
        <v>1</v>
      </c>
      <c r="D187" s="517">
        <f>15000000+2976586</f>
        <v>17976586</v>
      </c>
      <c r="E187" s="518">
        <f t="shared" si="57"/>
        <v>17976586</v>
      </c>
      <c r="F187" s="582"/>
      <c r="G187" s="612"/>
      <c r="H187" s="612"/>
      <c r="I187" s="612"/>
      <c r="J187" s="612"/>
      <c r="K187" s="492"/>
      <c r="L187" s="168"/>
      <c r="M187" s="168"/>
      <c r="N187" s="484">
        <v>0</v>
      </c>
      <c r="O187" s="484">
        <f>+N187-E187</f>
        <v>-17976586</v>
      </c>
      <c r="P187" s="318"/>
    </row>
    <row r="188" spans="1:35" s="82" customFormat="1" hidden="1">
      <c r="A188" s="92" t="s">
        <v>276</v>
      </c>
      <c r="B188" s="78"/>
      <c r="C188" s="78"/>
      <c r="D188" s="79"/>
      <c r="F188" s="80">
        <f>SUM(D188:D189)</f>
        <v>0</v>
      </c>
      <c r="G188" s="81"/>
      <c r="H188" s="81"/>
      <c r="I188" s="81"/>
      <c r="J188" s="81"/>
      <c r="K188" s="300"/>
      <c r="L188" s="165"/>
      <c r="M188" s="165"/>
      <c r="P188" s="239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idden="1" outlineLevel="1">
      <c r="A189" s="120" t="s">
        <v>277</v>
      </c>
      <c r="B189" s="84"/>
      <c r="C189" s="84"/>
      <c r="D189" s="126"/>
      <c r="E189" s="663" t="s">
        <v>278</v>
      </c>
      <c r="F189" s="664"/>
      <c r="G189" s="664"/>
      <c r="H189" s="664"/>
      <c r="I189" s="664"/>
      <c r="J189" s="665"/>
      <c r="K189" s="239"/>
    </row>
    <row r="190" spans="1:35" s="82" customFormat="1" collapsed="1">
      <c r="A190" s="147" t="s">
        <v>279</v>
      </c>
      <c r="B190" s="148"/>
      <c r="C190" s="148"/>
      <c r="D190" s="149"/>
      <c r="E190" s="150"/>
      <c r="F190" s="151">
        <v>9170000</v>
      </c>
      <c r="G190" s="152">
        <f>+G191+G195</f>
        <v>9170000</v>
      </c>
      <c r="H190" s="152">
        <f t="shared" ref="H190:J190" si="58">+H191+H195</f>
        <v>0</v>
      </c>
      <c r="I190" s="152">
        <f t="shared" si="58"/>
        <v>1705125</v>
      </c>
      <c r="J190" s="152">
        <f t="shared" si="58"/>
        <v>572375</v>
      </c>
      <c r="K190" s="300"/>
      <c r="L190" s="390">
        <v>1</v>
      </c>
      <c r="M190" s="390" t="s">
        <v>142</v>
      </c>
      <c r="N190" s="416">
        <v>9170000</v>
      </c>
      <c r="O190" s="392">
        <f>+N190-F190</f>
        <v>0</v>
      </c>
      <c r="P190" s="239">
        <v>1.2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outlineLevel="1">
      <c r="A191" s="120" t="s">
        <v>280</v>
      </c>
      <c r="B191" s="84"/>
      <c r="C191" s="84"/>
      <c r="D191" s="126"/>
      <c r="E191" s="127">
        <f>+SUMPRODUCT(C192:C194,D192:D194)</f>
        <v>520000</v>
      </c>
      <c r="F191" s="666"/>
      <c r="G191" s="128">
        <f>+$E192*G192+$E193*G193+$E194*G194</f>
        <v>428000</v>
      </c>
      <c r="H191" s="128">
        <f t="shared" ref="H191:J191" si="59">+$E192*H192+$E193*H193+$E194*H194</f>
        <v>0</v>
      </c>
      <c r="I191" s="128">
        <f t="shared" si="59"/>
        <v>66000</v>
      </c>
      <c r="J191" s="128">
        <f t="shared" si="59"/>
        <v>26000</v>
      </c>
      <c r="K191" s="417"/>
    </row>
    <row r="192" spans="1:35" outlineLevel="1">
      <c r="A192" s="121" t="s">
        <v>281</v>
      </c>
      <c r="B192" s="84" t="s">
        <v>144</v>
      </c>
      <c r="C192" s="84">
        <v>2</v>
      </c>
      <c r="D192" s="188">
        <v>120000</v>
      </c>
      <c r="E192" s="129">
        <f>+D192*C192</f>
        <v>240000</v>
      </c>
      <c r="F192" s="567"/>
      <c r="G192" s="130">
        <v>0.8</v>
      </c>
      <c r="H192" s="130"/>
      <c r="I192" s="130">
        <v>0.15</v>
      </c>
      <c r="J192" s="130">
        <v>0.05</v>
      </c>
      <c r="K192" s="418"/>
    </row>
    <row r="193" spans="1:35" outlineLevel="1">
      <c r="A193" s="121" t="s">
        <v>282</v>
      </c>
      <c r="B193" s="84" t="s">
        <v>144</v>
      </c>
      <c r="C193" s="84">
        <v>1</v>
      </c>
      <c r="D193" s="188">
        <v>200000</v>
      </c>
      <c r="E193" s="129">
        <f t="shared" ref="E193:E194" si="60">+D193*C193</f>
        <v>200000</v>
      </c>
      <c r="F193" s="567"/>
      <c r="G193" s="130">
        <v>0.8</v>
      </c>
      <c r="H193" s="130"/>
      <c r="I193" s="130">
        <v>0.15</v>
      </c>
      <c r="J193" s="130">
        <v>0.05</v>
      </c>
      <c r="K193" s="418"/>
    </row>
    <row r="194" spans="1:35" outlineLevel="1">
      <c r="A194" s="121" t="s">
        <v>283</v>
      </c>
      <c r="B194" s="84" t="s">
        <v>144</v>
      </c>
      <c r="C194" s="84">
        <v>4</v>
      </c>
      <c r="D194" s="188">
        <v>20000</v>
      </c>
      <c r="E194" s="129">
        <f t="shared" si="60"/>
        <v>80000</v>
      </c>
      <c r="F194" s="567"/>
      <c r="G194" s="130">
        <v>0.95</v>
      </c>
      <c r="H194" s="130"/>
      <c r="I194" s="130"/>
      <c r="J194" s="130">
        <v>0.05</v>
      </c>
      <c r="K194" s="418"/>
    </row>
    <row r="195" spans="1:35" outlineLevel="1">
      <c r="A195" s="120" t="s">
        <v>284</v>
      </c>
      <c r="B195" s="84"/>
      <c r="C195" s="84"/>
      <c r="D195" s="188"/>
      <c r="E195" s="667">
        <f>+SUMPRODUCT(C196:C201,D196:D201)</f>
        <v>10927500</v>
      </c>
      <c r="F195" s="567"/>
      <c r="G195" s="105">
        <f>+$E195*G196</f>
        <v>8742000</v>
      </c>
      <c r="H195" s="105">
        <f t="shared" ref="H195:J195" si="61">+$E195*H196</f>
        <v>0</v>
      </c>
      <c r="I195" s="105">
        <f t="shared" si="61"/>
        <v>1639125</v>
      </c>
      <c r="J195" s="105">
        <f t="shared" si="61"/>
        <v>546375</v>
      </c>
      <c r="K195" s="341"/>
    </row>
    <row r="196" spans="1:35" outlineLevel="1">
      <c r="A196" s="111" t="s">
        <v>285</v>
      </c>
      <c r="B196" s="84" t="s">
        <v>144</v>
      </c>
      <c r="C196" s="85">
        <v>200000</v>
      </c>
      <c r="D196" s="109">
        <v>50</v>
      </c>
      <c r="E196" s="667"/>
      <c r="F196" s="567"/>
      <c r="G196" s="668">
        <v>0.8</v>
      </c>
      <c r="H196" s="668">
        <v>0</v>
      </c>
      <c r="I196" s="668">
        <v>0.15</v>
      </c>
      <c r="J196" s="668">
        <v>0.05</v>
      </c>
      <c r="K196" s="419"/>
    </row>
    <row r="197" spans="1:35" outlineLevel="1">
      <c r="A197" s="111" t="s">
        <v>286</v>
      </c>
      <c r="B197" s="84" t="s">
        <v>144</v>
      </c>
      <c r="C197" s="85">
        <v>1250</v>
      </c>
      <c r="D197" s="109">
        <v>150</v>
      </c>
      <c r="E197" s="667"/>
      <c r="F197" s="567"/>
      <c r="G197" s="669"/>
      <c r="H197" s="669"/>
      <c r="I197" s="669"/>
      <c r="J197" s="669"/>
      <c r="K197" s="420"/>
    </row>
    <row r="198" spans="1:35" outlineLevel="1">
      <c r="A198" s="111" t="s">
        <v>287</v>
      </c>
      <c r="B198" s="84" t="s">
        <v>144</v>
      </c>
      <c r="C198" s="85">
        <v>750</v>
      </c>
      <c r="D198" s="109">
        <v>400</v>
      </c>
      <c r="E198" s="667"/>
      <c r="F198" s="567"/>
      <c r="G198" s="669"/>
      <c r="H198" s="669"/>
      <c r="I198" s="669"/>
      <c r="J198" s="669"/>
      <c r="K198" s="420"/>
    </row>
    <row r="199" spans="1:35" outlineLevel="1">
      <c r="A199" s="111" t="s">
        <v>288</v>
      </c>
      <c r="B199" s="84" t="s">
        <v>144</v>
      </c>
      <c r="C199" s="85">
        <v>150</v>
      </c>
      <c r="D199" s="109">
        <v>600</v>
      </c>
      <c r="E199" s="667"/>
      <c r="F199" s="567"/>
      <c r="G199" s="669"/>
      <c r="H199" s="669"/>
      <c r="I199" s="669"/>
      <c r="J199" s="669"/>
      <c r="K199" s="420"/>
    </row>
    <row r="200" spans="1:35" outlineLevel="1">
      <c r="A200" s="111" t="s">
        <v>289</v>
      </c>
      <c r="B200" s="84" t="s">
        <v>144</v>
      </c>
      <c r="C200" s="85">
        <v>150</v>
      </c>
      <c r="D200" s="85">
        <v>1000</v>
      </c>
      <c r="E200" s="667"/>
      <c r="F200" s="567"/>
      <c r="G200" s="669"/>
      <c r="H200" s="669"/>
      <c r="I200" s="669"/>
      <c r="J200" s="669"/>
      <c r="K200" s="420"/>
      <c r="O200" s="225"/>
    </row>
    <row r="201" spans="1:35" outlineLevel="1">
      <c r="A201" s="111" t="s">
        <v>290</v>
      </c>
      <c r="B201" s="84" t="s">
        <v>144</v>
      </c>
      <c r="C201" s="85">
        <v>100</v>
      </c>
      <c r="D201" s="85">
        <v>2000</v>
      </c>
      <c r="E201" s="667"/>
      <c r="F201" s="582"/>
      <c r="G201" s="670"/>
      <c r="H201" s="670"/>
      <c r="I201" s="670"/>
      <c r="J201" s="670"/>
      <c r="K201" s="420"/>
    </row>
    <row r="202" spans="1:35" s="82" customFormat="1">
      <c r="A202" s="147" t="s">
        <v>291</v>
      </c>
      <c r="B202" s="148"/>
      <c r="C202" s="148"/>
      <c r="D202" s="149"/>
      <c r="E202" s="157"/>
      <c r="F202" s="151">
        <f>SUMPRODUCT(D203:D210,C203:C210)</f>
        <v>9593500</v>
      </c>
      <c r="G202" s="152">
        <f>+$D203*G203+$D204*G204+$D212*G212+G210*$D210*$C210+G205*SUMPRODUCT($C205:$C209,$D205:$D209)</f>
        <v>9028200</v>
      </c>
      <c r="H202" s="152">
        <f>+$D203*H203+$D204*H204+$D212*H212+H210*$D210*$C210+H205*SUMPRODUCT($C205:$C209,$D205:$D209)</f>
        <v>569500</v>
      </c>
      <c r="I202" s="152">
        <f>+$D203*I203+$D204*I204+$D212*I212+I210*$D210*$C210+I205*SUMPRODUCT($C205:$C209,$D205:$D209)</f>
        <v>423749.99999999994</v>
      </c>
      <c r="J202" s="152">
        <f>+$D203*J203+$D204*J204+$D212*J212+J210*$D210*$C210+J205*SUMPRODUCT($C205:$C209,$D205:$D209)</f>
        <v>572050</v>
      </c>
      <c r="K202" s="300"/>
      <c r="L202" s="390">
        <v>2</v>
      </c>
      <c r="M202" s="390" t="s">
        <v>142</v>
      </c>
      <c r="N202" s="421">
        <f>SUM(N203:N210)</f>
        <v>3204352</v>
      </c>
      <c r="O202" s="392">
        <f>+N202-F202</f>
        <v>-6389148</v>
      </c>
      <c r="P202" s="239">
        <v>2.6</v>
      </c>
      <c r="Q202" s="239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outlineLevel="1">
      <c r="A203" s="120" t="s">
        <v>292</v>
      </c>
      <c r="B203" s="133" t="s">
        <v>144</v>
      </c>
      <c r="C203" s="133">
        <v>1</v>
      </c>
      <c r="D203" s="131">
        <v>2000000</v>
      </c>
      <c r="E203" s="422"/>
      <c r="F203" s="304"/>
      <c r="G203" s="132">
        <v>0.95</v>
      </c>
      <c r="H203" s="132"/>
      <c r="I203" s="132"/>
      <c r="J203" s="132">
        <v>0.05</v>
      </c>
      <c r="K203" s="423"/>
      <c r="N203" s="146">
        <v>1000000</v>
      </c>
      <c r="O203" s="122"/>
    </row>
    <row r="204" spans="1:35" ht="30" outlineLevel="1">
      <c r="A204" s="120" t="s">
        <v>293</v>
      </c>
      <c r="B204" s="154" t="s">
        <v>144</v>
      </c>
      <c r="C204" s="154">
        <v>1</v>
      </c>
      <c r="D204" s="131">
        <v>2000000</v>
      </c>
      <c r="E204" s="424"/>
      <c r="F204" s="307"/>
      <c r="G204" s="155">
        <v>0.75</v>
      </c>
      <c r="H204" s="155">
        <v>0.2</v>
      </c>
      <c r="I204" s="155"/>
      <c r="J204" s="155">
        <v>0.05</v>
      </c>
      <c r="K204" s="425"/>
      <c r="N204" s="146">
        <f>+D204-352148</f>
        <v>1647852</v>
      </c>
      <c r="O204" s="122"/>
    </row>
    <row r="205" spans="1:35" s="24" customFormat="1" outlineLevel="1">
      <c r="A205" s="519" t="s">
        <v>294</v>
      </c>
      <c r="B205" s="520" t="s">
        <v>144</v>
      </c>
      <c r="C205" s="520">
        <v>2</v>
      </c>
      <c r="D205" s="521">
        <f>+M205*1.13</f>
        <v>903999.99999999988</v>
      </c>
      <c r="E205" s="522"/>
      <c r="F205" s="313">
        <v>903999.99999999988</v>
      </c>
      <c r="G205" s="523">
        <v>0.95</v>
      </c>
      <c r="H205" s="523"/>
      <c r="I205" s="523"/>
      <c r="J205" s="523">
        <v>0.05</v>
      </c>
      <c r="K205" s="524"/>
      <c r="L205" s="168"/>
      <c r="M205" s="168">
        <v>800000</v>
      </c>
      <c r="N205" s="317">
        <v>0</v>
      </c>
      <c r="O205" s="317">
        <f>+N205-F205</f>
        <v>-903999.99999999988</v>
      </c>
      <c r="P205" s="318"/>
    </row>
    <row r="206" spans="1:35" s="24" customFormat="1" outlineLevel="1">
      <c r="A206" s="519" t="s">
        <v>295</v>
      </c>
      <c r="B206" s="520" t="s">
        <v>144</v>
      </c>
      <c r="C206" s="520">
        <v>1</v>
      </c>
      <c r="D206" s="521">
        <f t="shared" ref="D206:D210" si="62">+M206*1.13</f>
        <v>1468999.9999999998</v>
      </c>
      <c r="E206" s="522"/>
      <c r="F206" s="313">
        <v>1468999.9999999998</v>
      </c>
      <c r="G206" s="525"/>
      <c r="H206" s="525"/>
      <c r="I206" s="525"/>
      <c r="J206" s="525"/>
      <c r="K206" s="524"/>
      <c r="L206" s="168"/>
      <c r="M206" s="168">
        <v>1300000</v>
      </c>
      <c r="N206" s="317">
        <v>0</v>
      </c>
      <c r="O206" s="317">
        <f t="shared" ref="O206:O208" si="63">+N206-F206</f>
        <v>-1468999.9999999998</v>
      </c>
      <c r="P206" s="318"/>
    </row>
    <row r="207" spans="1:35" s="24" customFormat="1" outlineLevel="1">
      <c r="A207" s="519" t="s">
        <v>296</v>
      </c>
      <c r="B207" s="520" t="s">
        <v>144</v>
      </c>
      <c r="C207" s="520">
        <v>3</v>
      </c>
      <c r="D207" s="521">
        <f t="shared" si="62"/>
        <v>395499.99999999994</v>
      </c>
      <c r="E207" s="522"/>
      <c r="F207" s="313">
        <v>395499.99999999994</v>
      </c>
      <c r="G207" s="525"/>
      <c r="H207" s="525"/>
      <c r="I207" s="525"/>
      <c r="J207" s="525"/>
      <c r="K207" s="524"/>
      <c r="L207" s="168"/>
      <c r="M207" s="168">
        <v>350000</v>
      </c>
      <c r="N207" s="317">
        <v>0</v>
      </c>
      <c r="O207" s="317">
        <f t="shared" si="63"/>
        <v>-395499.99999999994</v>
      </c>
      <c r="P207" s="318"/>
    </row>
    <row r="208" spans="1:35" s="24" customFormat="1" outlineLevel="1">
      <c r="A208" s="519" t="s">
        <v>297</v>
      </c>
      <c r="B208" s="520" t="s">
        <v>144</v>
      </c>
      <c r="C208" s="520">
        <v>1</v>
      </c>
      <c r="D208" s="521">
        <f t="shared" si="62"/>
        <v>225999.99999999997</v>
      </c>
      <c r="E208" s="522"/>
      <c r="F208" s="313">
        <v>225999.99999999997</v>
      </c>
      <c r="G208" s="525"/>
      <c r="H208" s="525"/>
      <c r="I208" s="525"/>
      <c r="J208" s="525"/>
      <c r="K208" s="524"/>
      <c r="L208" s="168"/>
      <c r="M208" s="168">
        <v>200000</v>
      </c>
      <c r="N208" s="317">
        <v>0</v>
      </c>
      <c r="O208" s="317">
        <f t="shared" si="63"/>
        <v>-225999.99999999997</v>
      </c>
      <c r="P208" s="318"/>
    </row>
    <row r="209" spans="1:18" s="110" customFormat="1" outlineLevel="1">
      <c r="A209" s="381" t="s">
        <v>298</v>
      </c>
      <c r="B209" s="426" t="s">
        <v>144</v>
      </c>
      <c r="C209" s="426">
        <v>1</v>
      </c>
      <c r="D209" s="427">
        <f t="shared" si="62"/>
        <v>56499.999999999993</v>
      </c>
      <c r="E209" s="428"/>
      <c r="F209" s="382">
        <v>56499.999999999993</v>
      </c>
      <c r="G209" s="431"/>
      <c r="H209" s="431"/>
      <c r="I209" s="431"/>
      <c r="J209" s="431"/>
      <c r="K209" s="429"/>
      <c r="L209" s="166"/>
      <c r="M209" s="166">
        <v>50000</v>
      </c>
      <c r="N209" s="430">
        <f>+D209</f>
        <v>56499.999999999993</v>
      </c>
      <c r="O209" s="346"/>
      <c r="P209" s="347"/>
    </row>
    <row r="210" spans="1:18" s="110" customFormat="1" outlineLevel="1">
      <c r="A210" s="381" t="s">
        <v>299</v>
      </c>
      <c r="B210" s="426" t="s">
        <v>144</v>
      </c>
      <c r="C210" s="426">
        <v>1</v>
      </c>
      <c r="D210" s="427">
        <f t="shared" si="62"/>
        <v>847499.99999999988</v>
      </c>
      <c r="E210" s="428"/>
      <c r="F210" s="382">
        <v>847499.99999999988</v>
      </c>
      <c r="G210" s="432">
        <v>0.2</v>
      </c>
      <c r="H210" s="432">
        <v>0.2</v>
      </c>
      <c r="I210" s="432">
        <v>0.5</v>
      </c>
      <c r="J210" s="432">
        <v>0.1</v>
      </c>
      <c r="K210" s="385"/>
      <c r="L210" s="166"/>
      <c r="M210" s="166">
        <v>750000</v>
      </c>
      <c r="N210" s="430">
        <v>500000</v>
      </c>
      <c r="O210" s="346"/>
      <c r="P210" s="347"/>
    </row>
    <row r="211" spans="1:18" ht="14.45" customHeight="1" outlineLevel="1">
      <c r="A211" s="433" t="s">
        <v>300</v>
      </c>
      <c r="B211" s="434"/>
      <c r="C211" s="434"/>
      <c r="D211" s="435"/>
      <c r="E211" s="436"/>
      <c r="F211" s="437">
        <f>SUM(E212:E220)</f>
        <v>11600000</v>
      </c>
      <c r="G211" s="438"/>
      <c r="H211" s="438"/>
      <c r="I211" s="438"/>
      <c r="J211" s="438"/>
      <c r="K211" s="439"/>
      <c r="L211" s="440">
        <v>3</v>
      </c>
      <c r="M211" s="441" t="s">
        <v>142</v>
      </c>
      <c r="N211" s="442">
        <f>SUM(N212:N220)</f>
        <v>9150234</v>
      </c>
      <c r="O211" s="443">
        <f>+N211-F211</f>
        <v>-2449766</v>
      </c>
      <c r="P211" s="239">
        <v>3</v>
      </c>
    </row>
    <row r="212" spans="1:18" s="24" customFormat="1" outlineLevel="1">
      <c r="A212" s="519" t="s">
        <v>301</v>
      </c>
      <c r="B212" s="520" t="s">
        <v>144</v>
      </c>
      <c r="C212" s="520">
        <v>1</v>
      </c>
      <c r="D212" s="526">
        <v>1000000</v>
      </c>
      <c r="E212" s="531">
        <f>+D212*C212</f>
        <v>1000000</v>
      </c>
      <c r="F212" s="532"/>
      <c r="G212" s="533">
        <v>0.95</v>
      </c>
      <c r="H212" s="534"/>
      <c r="I212" s="534"/>
      <c r="J212" s="534">
        <v>0.05</v>
      </c>
      <c r="K212" s="535"/>
      <c r="L212" s="168"/>
      <c r="M212" s="168"/>
      <c r="N212" s="317">
        <v>700000</v>
      </c>
      <c r="O212" s="317">
        <f>+N212-E212</f>
        <v>-300000</v>
      </c>
      <c r="P212" s="318"/>
    </row>
    <row r="213" spans="1:18" s="24" customFormat="1" outlineLevel="1">
      <c r="A213" s="519" t="s">
        <v>302</v>
      </c>
      <c r="B213" s="520" t="s">
        <v>144</v>
      </c>
      <c r="C213" s="520">
        <v>1</v>
      </c>
      <c r="D213" s="526">
        <v>350000</v>
      </c>
      <c r="E213" s="527">
        <f t="shared" ref="E213:E220" si="64">+D213*C213</f>
        <v>350000</v>
      </c>
      <c r="F213" s="313"/>
      <c r="G213" s="530"/>
      <c r="H213" s="525"/>
      <c r="I213" s="525"/>
      <c r="J213" s="525"/>
      <c r="K213" s="524"/>
      <c r="L213" s="168"/>
      <c r="M213" s="445"/>
      <c r="N213" s="446">
        <v>200000</v>
      </c>
      <c r="O213" s="317">
        <f t="shared" ref="O213:O220" si="65">+N213-E213</f>
        <v>-150000</v>
      </c>
      <c r="P213" s="318"/>
    </row>
    <row r="214" spans="1:18" s="24" customFormat="1" outlineLevel="1">
      <c r="A214" s="519" t="s">
        <v>79</v>
      </c>
      <c r="B214" s="520" t="s">
        <v>144</v>
      </c>
      <c r="C214" s="520">
        <v>1</v>
      </c>
      <c r="D214" s="526">
        <v>1475000</v>
      </c>
      <c r="E214" s="527">
        <f t="shared" si="64"/>
        <v>1475000</v>
      </c>
      <c r="F214" s="313"/>
      <c r="G214" s="528"/>
      <c r="H214" s="529"/>
      <c r="I214" s="529"/>
      <c r="J214" s="529"/>
      <c r="K214" s="524"/>
      <c r="L214" s="168"/>
      <c r="M214" s="448"/>
      <c r="N214" s="450">
        <v>525234</v>
      </c>
      <c r="O214" s="317">
        <f t="shared" si="65"/>
        <v>-949766</v>
      </c>
      <c r="P214" s="318"/>
    </row>
    <row r="215" spans="1:18" outlineLevel="1">
      <c r="A215" s="120" t="s">
        <v>80</v>
      </c>
      <c r="B215" s="133" t="s">
        <v>144</v>
      </c>
      <c r="C215" s="133">
        <v>1</v>
      </c>
      <c r="D215" s="444">
        <v>200000</v>
      </c>
      <c r="E215" s="336">
        <f t="shared" si="64"/>
        <v>200000</v>
      </c>
      <c r="F215" s="307"/>
      <c r="G215" s="447"/>
      <c r="H215" s="156"/>
      <c r="I215" s="156"/>
      <c r="J215" s="156"/>
      <c r="K215" s="425"/>
      <c r="M215" s="448"/>
      <c r="N215" s="449">
        <v>200000</v>
      </c>
      <c r="O215" s="317">
        <f t="shared" si="65"/>
        <v>0</v>
      </c>
    </row>
    <row r="216" spans="1:18" s="24" customFormat="1" outlineLevel="1">
      <c r="A216" s="519" t="s">
        <v>303</v>
      </c>
      <c r="B216" s="520" t="s">
        <v>144</v>
      </c>
      <c r="C216" s="520">
        <v>1</v>
      </c>
      <c r="D216" s="526">
        <v>4500000</v>
      </c>
      <c r="E216" s="527">
        <f t="shared" si="64"/>
        <v>4500000</v>
      </c>
      <c r="F216" s="313"/>
      <c r="G216" s="528"/>
      <c r="H216" s="529"/>
      <c r="I216" s="529"/>
      <c r="J216" s="529"/>
      <c r="K216" s="524"/>
      <c r="L216" s="168"/>
      <c r="M216" s="448"/>
      <c r="N216" s="450">
        <v>4000000</v>
      </c>
      <c r="O216" s="317">
        <f t="shared" si="65"/>
        <v>-500000</v>
      </c>
      <c r="P216" s="318"/>
    </row>
    <row r="217" spans="1:18" outlineLevel="1">
      <c r="A217" s="120" t="s">
        <v>82</v>
      </c>
      <c r="B217" s="133" t="s">
        <v>144</v>
      </c>
      <c r="C217" s="133">
        <v>1</v>
      </c>
      <c r="D217" s="444">
        <v>75000</v>
      </c>
      <c r="E217" s="336">
        <f t="shared" si="64"/>
        <v>75000</v>
      </c>
      <c r="F217" s="307"/>
      <c r="G217" s="447"/>
      <c r="H217" s="156"/>
      <c r="I217" s="156"/>
      <c r="J217" s="156"/>
      <c r="K217" s="425"/>
      <c r="M217" s="448"/>
      <c r="N217" s="449">
        <v>75000</v>
      </c>
      <c r="O217" s="317">
        <f t="shared" si="65"/>
        <v>0</v>
      </c>
    </row>
    <row r="218" spans="1:18" s="24" customFormat="1" ht="30" outlineLevel="1">
      <c r="A218" s="519" t="s">
        <v>304</v>
      </c>
      <c r="B218" s="520" t="s">
        <v>144</v>
      </c>
      <c r="C218" s="520">
        <v>1</v>
      </c>
      <c r="D218" s="526">
        <v>2000000</v>
      </c>
      <c r="E218" s="527">
        <f t="shared" si="64"/>
        <v>2000000</v>
      </c>
      <c r="F218" s="313"/>
      <c r="G218" s="528"/>
      <c r="H218" s="529"/>
      <c r="I218" s="529"/>
      <c r="J218" s="529"/>
      <c r="K218" s="524"/>
      <c r="L218" s="168"/>
      <c r="M218" s="448"/>
      <c r="N218" s="450">
        <v>1800000</v>
      </c>
      <c r="O218" s="317">
        <f t="shared" si="65"/>
        <v>-200000</v>
      </c>
      <c r="P218" s="318"/>
    </row>
    <row r="219" spans="1:18" s="24" customFormat="1" outlineLevel="1">
      <c r="A219" s="519" t="s">
        <v>84</v>
      </c>
      <c r="B219" s="520" t="s">
        <v>144</v>
      </c>
      <c r="C219" s="520">
        <v>1</v>
      </c>
      <c r="D219" s="526">
        <v>1700000</v>
      </c>
      <c r="E219" s="527">
        <f t="shared" si="64"/>
        <v>1700000</v>
      </c>
      <c r="F219" s="313"/>
      <c r="G219" s="528"/>
      <c r="H219" s="529"/>
      <c r="I219" s="529"/>
      <c r="J219" s="529"/>
      <c r="K219" s="524"/>
      <c r="L219" s="168"/>
      <c r="M219" s="168"/>
      <c r="N219" s="317">
        <v>1400000</v>
      </c>
      <c r="O219" s="317">
        <f t="shared" si="65"/>
        <v>-300000</v>
      </c>
      <c r="P219" s="563"/>
      <c r="Q219" s="563"/>
      <c r="R219" s="563"/>
    </row>
    <row r="220" spans="1:18" s="24" customFormat="1" outlineLevel="1">
      <c r="A220" s="519" t="s">
        <v>85</v>
      </c>
      <c r="B220" s="520" t="s">
        <v>144</v>
      </c>
      <c r="C220" s="520">
        <v>1</v>
      </c>
      <c r="D220" s="526">
        <v>300000</v>
      </c>
      <c r="E220" s="527">
        <f t="shared" si="64"/>
        <v>300000</v>
      </c>
      <c r="F220" s="319"/>
      <c r="G220" s="528"/>
      <c r="H220" s="529"/>
      <c r="I220" s="529"/>
      <c r="J220" s="529"/>
      <c r="K220" s="524"/>
      <c r="L220" s="168"/>
      <c r="M220" s="448"/>
      <c r="N220" s="450">
        <v>250000</v>
      </c>
      <c r="O220" s="317">
        <f t="shared" si="65"/>
        <v>-50000</v>
      </c>
      <c r="P220" s="318"/>
    </row>
    <row r="221" spans="1:18">
      <c r="A221" s="564" t="s">
        <v>305</v>
      </c>
      <c r="B221" s="564"/>
      <c r="C221" s="564"/>
      <c r="D221" s="564"/>
      <c r="E221" s="564"/>
      <c r="F221" s="451">
        <f>+F202+F190+F188+F185+F174+F161+F158+F144+F112+F109+F74+F71+F46+F17+F12+F6+F137+F211</f>
        <v>146499999.63428572</v>
      </c>
      <c r="G221" s="134"/>
      <c r="H221" s="134"/>
      <c r="I221" s="134"/>
      <c r="J221" s="134"/>
      <c r="K221" s="452"/>
      <c r="N221" s="451">
        <f>+N202+N190+N188+N185+N174+N161+N158+N144+N112+N109+N74+N71+N46+N17+N12+N6+N137+N211</f>
        <v>96499999.634285718</v>
      </c>
      <c r="O221" s="451">
        <f>+O202+O190+O188+O185+O174+O161+O158+O144+O112+O109+O74+O71+O46+O17+O12+O6+O137+O211</f>
        <v>-50000000</v>
      </c>
    </row>
    <row r="222" spans="1:18">
      <c r="F222" s="122"/>
    </row>
    <row r="223" spans="1:18">
      <c r="F223" s="122"/>
      <c r="M223" s="565" t="s">
        <v>306</v>
      </c>
      <c r="N223" s="565"/>
      <c r="O223" s="453">
        <f>50000000+O221</f>
        <v>0</v>
      </c>
    </row>
    <row r="224" spans="1:18">
      <c r="F224" s="122"/>
    </row>
    <row r="225" spans="3:15">
      <c r="F225" s="122"/>
      <c r="O225" s="122"/>
    </row>
    <row r="226" spans="3:15">
      <c r="F226" s="122"/>
    </row>
    <row r="227" spans="3:15">
      <c r="F227" s="122"/>
    </row>
    <row r="228" spans="3:15">
      <c r="F228" s="122"/>
    </row>
    <row r="229" spans="3:15">
      <c r="C229" s="5"/>
      <c r="D229" s="73" t="s">
        <v>307</v>
      </c>
      <c r="E229" s="239" t="s">
        <v>308</v>
      </c>
      <c r="F229" s="239" t="s">
        <v>309</v>
      </c>
    </row>
    <row r="230" spans="3:15">
      <c r="C230" s="157" t="s">
        <v>310</v>
      </c>
      <c r="D230" s="225">
        <f>+F161+F174+F185+F190</f>
        <v>58137086</v>
      </c>
      <c r="E230" s="225">
        <f>+N161+N174+N185+N190+N202</f>
        <v>33800352</v>
      </c>
      <c r="F230" s="225">
        <f>+E230-D230</f>
        <v>-24336734</v>
      </c>
      <c r="G230" s="20">
        <f>+E230/E233</f>
        <v>0.35026271635332723</v>
      </c>
      <c r="H230" s="225"/>
      <c r="I230" s="225"/>
      <c r="N230" s="225"/>
    </row>
    <row r="231" spans="3:15">
      <c r="C231" s="454" t="s">
        <v>311</v>
      </c>
      <c r="D231" s="122">
        <f>+F6+F17+F46+F71+F74+F109+F112+F137+F144+F202+F12+F158</f>
        <v>76762913.634285718</v>
      </c>
      <c r="E231" s="122">
        <f>+N6+N17+N46+N71+N74+N109+N112+N137+N144+N158+N12</f>
        <v>53549413.634285718</v>
      </c>
      <c r="F231" s="225">
        <f>+E231-D231</f>
        <v>-23213500</v>
      </c>
      <c r="G231" s="20">
        <f>+E231/E233</f>
        <v>0.55491620556711396</v>
      </c>
      <c r="H231" s="225"/>
      <c r="I231" s="122"/>
    </row>
    <row r="232" spans="3:15">
      <c r="C232" s="455" t="s">
        <v>312</v>
      </c>
      <c r="D232" s="225">
        <f>+F211</f>
        <v>11600000</v>
      </c>
      <c r="E232" s="225">
        <f>+N211</f>
        <v>9150234</v>
      </c>
      <c r="F232" s="225">
        <f>+O211</f>
        <v>-2449766</v>
      </c>
      <c r="G232" s="20">
        <f>+E232/E233</f>
        <v>9.4821078079558779E-2</v>
      </c>
    </row>
    <row r="233" spans="3:15">
      <c r="C233" s="72" t="s">
        <v>313</v>
      </c>
      <c r="D233" s="73">
        <f>SUM(D230:D232)</f>
        <v>146499999.63428572</v>
      </c>
      <c r="E233" s="73">
        <f>SUM(E230:E232)</f>
        <v>96499999.634285718</v>
      </c>
      <c r="F233" s="73">
        <f>SUM(F230:F232)</f>
        <v>-50000000</v>
      </c>
    </row>
    <row r="234" spans="3:15">
      <c r="C234" s="72" t="s">
        <v>314</v>
      </c>
      <c r="D234" s="73">
        <v>3500000</v>
      </c>
      <c r="E234" s="456">
        <v>3500000</v>
      </c>
      <c r="F234" s="122">
        <f>+E234-D234</f>
        <v>0</v>
      </c>
    </row>
    <row r="235" spans="3:15">
      <c r="C235" s="72" t="s">
        <v>17</v>
      </c>
      <c r="D235" s="73">
        <f>+D234+D233</f>
        <v>149999999.63428572</v>
      </c>
      <c r="E235" s="457">
        <f>+E234+E233</f>
        <v>99999999.634285718</v>
      </c>
      <c r="F235" s="122">
        <f>+E235-D235</f>
        <v>-50000000</v>
      </c>
    </row>
    <row r="237" spans="3:15">
      <c r="E237"/>
    </row>
  </sheetData>
  <mergeCells count="137">
    <mergeCell ref="E189:J189"/>
    <mergeCell ref="F191:F201"/>
    <mergeCell ref="E195:E201"/>
    <mergeCell ref="G196:G201"/>
    <mergeCell ref="H196:H201"/>
    <mergeCell ref="I196:I201"/>
    <mergeCell ref="J196:J201"/>
    <mergeCell ref="I180:I183"/>
    <mergeCell ref="J180:J183"/>
    <mergeCell ref="F186:F187"/>
    <mergeCell ref="G186:G187"/>
    <mergeCell ref="H186:H187"/>
    <mergeCell ref="I186:I187"/>
    <mergeCell ref="J186:J187"/>
    <mergeCell ref="F180:F183"/>
    <mergeCell ref="G180:G183"/>
    <mergeCell ref="H180:H183"/>
    <mergeCell ref="F168:F172"/>
    <mergeCell ref="G168:G172"/>
    <mergeCell ref="H168:H172"/>
    <mergeCell ref="I168:I172"/>
    <mergeCell ref="J168:J172"/>
    <mergeCell ref="F176:F178"/>
    <mergeCell ref="G176:G177"/>
    <mergeCell ref="H176:H177"/>
    <mergeCell ref="I176:I177"/>
    <mergeCell ref="J176:J177"/>
    <mergeCell ref="F159:F160"/>
    <mergeCell ref="G159:G160"/>
    <mergeCell ref="H159:H160"/>
    <mergeCell ref="I159:I160"/>
    <mergeCell ref="J159:J160"/>
    <mergeCell ref="F163:F166"/>
    <mergeCell ref="G163:G164"/>
    <mergeCell ref="H163:H164"/>
    <mergeCell ref="I163:I164"/>
    <mergeCell ref="J163:J164"/>
    <mergeCell ref="F140:F143"/>
    <mergeCell ref="G140:G143"/>
    <mergeCell ref="H140:H143"/>
    <mergeCell ref="I140:I143"/>
    <mergeCell ref="J140:J143"/>
    <mergeCell ref="G145:G157"/>
    <mergeCell ref="H145:H157"/>
    <mergeCell ref="I145:I157"/>
    <mergeCell ref="J145:J157"/>
    <mergeCell ref="F114:F122"/>
    <mergeCell ref="G114:G122"/>
    <mergeCell ref="H114:H122"/>
    <mergeCell ref="I114:I122"/>
    <mergeCell ref="J114:J122"/>
    <mergeCell ref="F126:F136"/>
    <mergeCell ref="G126:G136"/>
    <mergeCell ref="H126:H136"/>
    <mergeCell ref="I126:I136"/>
    <mergeCell ref="J126:J136"/>
    <mergeCell ref="F105:F108"/>
    <mergeCell ref="G105:G108"/>
    <mergeCell ref="H105:H108"/>
    <mergeCell ref="I105:I108"/>
    <mergeCell ref="J105:J108"/>
    <mergeCell ref="F110:F111"/>
    <mergeCell ref="G110:G111"/>
    <mergeCell ref="H110:H111"/>
    <mergeCell ref="I110:I111"/>
    <mergeCell ref="J110:J111"/>
    <mergeCell ref="F89:F99"/>
    <mergeCell ref="G89:G99"/>
    <mergeCell ref="H89:H99"/>
    <mergeCell ref="I89:I99"/>
    <mergeCell ref="J89:J99"/>
    <mergeCell ref="F101:F103"/>
    <mergeCell ref="G101:G103"/>
    <mergeCell ref="H101:H103"/>
    <mergeCell ref="I101:I103"/>
    <mergeCell ref="J101:J103"/>
    <mergeCell ref="F72:F73"/>
    <mergeCell ref="G72:G73"/>
    <mergeCell ref="H72:H73"/>
    <mergeCell ref="I72:I73"/>
    <mergeCell ref="J72:J73"/>
    <mergeCell ref="F76:F87"/>
    <mergeCell ref="G76:G87"/>
    <mergeCell ref="H76:H87"/>
    <mergeCell ref="I76:I87"/>
    <mergeCell ref="J76:J87"/>
    <mergeCell ref="J39:J40"/>
    <mergeCell ref="F48:F60"/>
    <mergeCell ref="G48:G60"/>
    <mergeCell ref="H48:H60"/>
    <mergeCell ref="I48:I60"/>
    <mergeCell ref="J48:J60"/>
    <mergeCell ref="F62:F70"/>
    <mergeCell ref="G62:G70"/>
    <mergeCell ref="H62:H70"/>
    <mergeCell ref="I62:I70"/>
    <mergeCell ref="J62:J70"/>
    <mergeCell ref="H39:H40"/>
    <mergeCell ref="I39:I40"/>
    <mergeCell ref="A27:A28"/>
    <mergeCell ref="B27:B28"/>
    <mergeCell ref="C27:C28"/>
    <mergeCell ref="D27:D28"/>
    <mergeCell ref="E27:E28"/>
    <mergeCell ref="F27:F28"/>
    <mergeCell ref="A35:A36"/>
    <mergeCell ref="B35:B36"/>
    <mergeCell ref="C35:C36"/>
    <mergeCell ref="D35:D36"/>
    <mergeCell ref="E35:E36"/>
    <mergeCell ref="F35:F36"/>
    <mergeCell ref="E30:E34"/>
    <mergeCell ref="F30:F34"/>
    <mergeCell ref="D3:J3"/>
    <mergeCell ref="P219:R219"/>
    <mergeCell ref="A221:E221"/>
    <mergeCell ref="M223:N223"/>
    <mergeCell ref="E5:F5"/>
    <mergeCell ref="F20:F26"/>
    <mergeCell ref="G20:G26"/>
    <mergeCell ref="H20:H26"/>
    <mergeCell ref="I20:I26"/>
    <mergeCell ref="J20:J26"/>
    <mergeCell ref="E23:E26"/>
    <mergeCell ref="H30:H34"/>
    <mergeCell ref="I30:I34"/>
    <mergeCell ref="J30:J34"/>
    <mergeCell ref="G30:G34"/>
    <mergeCell ref="E42:E45"/>
    <mergeCell ref="F42:F45"/>
    <mergeCell ref="G42:G45"/>
    <mergeCell ref="H42:H45"/>
    <mergeCell ref="I42:I45"/>
    <mergeCell ref="J42:J45"/>
    <mergeCell ref="E39:E40"/>
    <mergeCell ref="F39:F40"/>
    <mergeCell ref="G39:G40"/>
  </mergeCells>
  <pageMargins left="0.7" right="0.7" top="0.75" bottom="0.75" header="0.3" footer="0.3"/>
  <pageSetup orientation="portrait" horizontalDpi="4294967293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E379-A576-4761-AD29-19FC4540283B}">
  <dimension ref="A2:F17"/>
  <sheetViews>
    <sheetView topLeftCell="A4" zoomScale="120" zoomScaleNormal="120" workbookViewId="0">
      <selection activeCell="B14" sqref="B14"/>
    </sheetView>
  </sheetViews>
  <sheetFormatPr defaultColWidth="11.42578125" defaultRowHeight="15.75"/>
  <cols>
    <col min="1" max="1" width="4.42578125" style="173" bestFit="1" customWidth="1"/>
    <col min="2" max="2" width="95.7109375" style="187" customWidth="1"/>
    <col min="3" max="3" width="12.5703125" style="173" bestFit="1" customWidth="1"/>
    <col min="4" max="4" width="9.7109375" style="173" bestFit="1" customWidth="1"/>
    <col min="5" max="5" width="15.5703125" style="173" customWidth="1"/>
    <col min="6" max="6" width="12" style="173" bestFit="1" customWidth="1"/>
    <col min="7" max="16384" width="11.42578125" style="173"/>
  </cols>
  <sheetData>
    <row r="2" spans="1:6">
      <c r="B2" s="671" t="s">
        <v>78</v>
      </c>
      <c r="C2" s="671" t="s">
        <v>20</v>
      </c>
      <c r="D2" s="673" t="s">
        <v>21</v>
      </c>
      <c r="E2" s="673" t="s">
        <v>22</v>
      </c>
      <c r="F2" s="671" t="s">
        <v>49</v>
      </c>
    </row>
    <row r="3" spans="1:6">
      <c r="B3" s="671"/>
      <c r="C3" s="671"/>
      <c r="D3" s="674"/>
      <c r="E3" s="674"/>
      <c r="F3" s="671"/>
    </row>
    <row r="4" spans="1:6">
      <c r="B4" s="672" t="s">
        <v>78</v>
      </c>
      <c r="C4" s="672"/>
      <c r="D4" s="174"/>
      <c r="E4" s="175">
        <f>SUM(E5:E17)</f>
        <v>11600000</v>
      </c>
      <c r="F4" s="175">
        <f>+F5+F6+F7+F8+F13+F14+F15+F16+F17</f>
        <v>11600000</v>
      </c>
    </row>
    <row r="5" spans="1:6" s="183" customFormat="1">
      <c r="A5" s="139">
        <v>1</v>
      </c>
      <c r="B5" s="185" t="s">
        <v>79</v>
      </c>
      <c r="C5" s="181" t="s">
        <v>34</v>
      </c>
      <c r="D5" s="182">
        <v>1</v>
      </c>
      <c r="E5" s="182">
        <v>1475000</v>
      </c>
      <c r="F5" s="182">
        <f>+E5*D5</f>
        <v>1475000</v>
      </c>
    </row>
    <row r="6" spans="1:6" s="183" customFormat="1">
      <c r="A6" s="139">
        <v>2</v>
      </c>
      <c r="B6" s="185" t="s">
        <v>80</v>
      </c>
      <c r="C6" s="181" t="s">
        <v>34</v>
      </c>
      <c r="D6" s="182">
        <v>1</v>
      </c>
      <c r="E6" s="182">
        <v>200000</v>
      </c>
      <c r="F6" s="182">
        <f>+E6*D6</f>
        <v>200000</v>
      </c>
    </row>
    <row r="7" spans="1:6" s="183" customFormat="1">
      <c r="A7" s="139">
        <v>3</v>
      </c>
      <c r="B7" s="185" t="s">
        <v>315</v>
      </c>
      <c r="C7" s="181" t="s">
        <v>34</v>
      </c>
      <c r="D7" s="182">
        <v>1</v>
      </c>
      <c r="E7" s="182">
        <v>4500000</v>
      </c>
      <c r="F7" s="182">
        <f t="shared" ref="F7:F17" si="0">+E7*D7</f>
        <v>4500000</v>
      </c>
    </row>
    <row r="8" spans="1:6" s="183" customFormat="1">
      <c r="A8" s="139">
        <v>4</v>
      </c>
      <c r="B8" s="185" t="s">
        <v>82</v>
      </c>
      <c r="C8" s="181"/>
      <c r="D8" s="182"/>
      <c r="E8" s="182"/>
      <c r="F8" s="182">
        <f>SUM(F9:F12)</f>
        <v>75000</v>
      </c>
    </row>
    <row r="9" spans="1:6" s="180" customFormat="1">
      <c r="A9" s="177">
        <v>4.0999999999999996</v>
      </c>
      <c r="B9" s="186" t="s">
        <v>316</v>
      </c>
      <c r="C9" s="178" t="s">
        <v>34</v>
      </c>
      <c r="D9" s="179">
        <v>1</v>
      </c>
      <c r="E9" s="179">
        <v>20000</v>
      </c>
      <c r="F9" s="176">
        <f t="shared" si="0"/>
        <v>20000</v>
      </c>
    </row>
    <row r="10" spans="1:6" s="180" customFormat="1">
      <c r="A10" s="177">
        <v>4.2</v>
      </c>
      <c r="B10" s="186" t="s">
        <v>317</v>
      </c>
      <c r="C10" s="178" t="s">
        <v>34</v>
      </c>
      <c r="D10" s="179">
        <v>1</v>
      </c>
      <c r="E10" s="179">
        <v>20000</v>
      </c>
      <c r="F10" s="176">
        <f t="shared" si="0"/>
        <v>20000</v>
      </c>
    </row>
    <row r="11" spans="1:6" s="180" customFormat="1">
      <c r="A11" s="177">
        <v>4.3</v>
      </c>
      <c r="B11" s="186" t="s">
        <v>318</v>
      </c>
      <c r="C11" s="178" t="s">
        <v>34</v>
      </c>
      <c r="D11" s="179">
        <v>1</v>
      </c>
      <c r="E11" s="179">
        <v>15000</v>
      </c>
      <c r="F11" s="176">
        <f t="shared" si="0"/>
        <v>15000</v>
      </c>
    </row>
    <row r="12" spans="1:6" s="180" customFormat="1" ht="31.5">
      <c r="A12" s="177">
        <v>4.4000000000000004</v>
      </c>
      <c r="B12" s="186" t="s">
        <v>319</v>
      </c>
      <c r="C12" s="178" t="s">
        <v>34</v>
      </c>
      <c r="D12" s="179">
        <v>1</v>
      </c>
      <c r="E12" s="179">
        <v>20000</v>
      </c>
      <c r="F12" s="176">
        <f t="shared" si="0"/>
        <v>20000</v>
      </c>
    </row>
    <row r="13" spans="1:6" s="183" customFormat="1" ht="31.5">
      <c r="A13" s="139">
        <v>5</v>
      </c>
      <c r="B13" s="185" t="s">
        <v>83</v>
      </c>
      <c r="C13" s="181" t="s">
        <v>34</v>
      </c>
      <c r="D13" s="182">
        <v>1</v>
      </c>
      <c r="E13" s="182">
        <v>2000000</v>
      </c>
      <c r="F13" s="182">
        <f t="shared" si="0"/>
        <v>2000000</v>
      </c>
    </row>
    <row r="14" spans="1:6" s="183" customFormat="1">
      <c r="A14" s="139">
        <v>6</v>
      </c>
      <c r="B14" s="185" t="s">
        <v>84</v>
      </c>
      <c r="C14" s="181" t="s">
        <v>34</v>
      </c>
      <c r="D14" s="182">
        <v>1</v>
      </c>
      <c r="E14" s="182">
        <v>1700000</v>
      </c>
      <c r="F14" s="182">
        <f t="shared" si="0"/>
        <v>1700000</v>
      </c>
    </row>
    <row r="15" spans="1:6" s="183" customFormat="1">
      <c r="A15" s="139">
        <v>7</v>
      </c>
      <c r="B15" s="185" t="s">
        <v>85</v>
      </c>
      <c r="C15" s="181" t="s">
        <v>34</v>
      </c>
      <c r="D15" s="182">
        <v>1</v>
      </c>
      <c r="E15" s="182">
        <v>300000</v>
      </c>
      <c r="F15" s="182">
        <f t="shared" si="0"/>
        <v>300000</v>
      </c>
    </row>
    <row r="16" spans="1:6" s="183" customFormat="1">
      <c r="A16" s="139">
        <v>8</v>
      </c>
      <c r="B16" s="185" t="s">
        <v>86</v>
      </c>
      <c r="C16" s="181" t="s">
        <v>34</v>
      </c>
      <c r="D16" s="182">
        <v>1</v>
      </c>
      <c r="E16" s="182">
        <v>350000</v>
      </c>
      <c r="F16" s="182">
        <f t="shared" si="0"/>
        <v>350000</v>
      </c>
    </row>
    <row r="17" spans="1:6" s="183" customFormat="1">
      <c r="A17" s="139">
        <v>9</v>
      </c>
      <c r="B17" s="185" t="s">
        <v>87</v>
      </c>
      <c r="C17" s="181" t="s">
        <v>34</v>
      </c>
      <c r="D17" s="182">
        <v>1</v>
      </c>
      <c r="E17" s="182">
        <v>1000000</v>
      </c>
      <c r="F17" s="182">
        <f t="shared" si="0"/>
        <v>1000000</v>
      </c>
    </row>
  </sheetData>
  <mergeCells count="6">
    <mergeCell ref="F2:F3"/>
    <mergeCell ref="B4:C4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Document_x0020_Type xmlns="cdc7663a-08f0-4737-9e8c-148ce897a09c" xsi:nil="true"/>
    <Record_x0020_Number xmlns="cdc7663a-08f0-4737-9e8c-148ce897a09c" xsi:nil="true"/>
    <Key_x0020_Document xmlns="cdc7663a-08f0-4737-9e8c-148ce897a09c">false</Key_x0020_Document>
    <Division_x0020_or_x0020_Unit xmlns="cdc7663a-08f0-4737-9e8c-148ce897a09c">INE/WSA</Division_x0020_or_x0020_Unit>
    <Transaction_x0020_Number xmlns="cdc7663a-08f0-4737-9e8c-148ce897a09c" xsi:nil="true"/>
    <_dlc_DocId xmlns="cdc7663a-08f0-4737-9e8c-148ce897a09c">EZSHARE-1796633770-34</_dlc_DocId>
    <Document_x0020_Author xmlns="cdc7663a-08f0-4737-9e8c-148ce897a09c">Guiza Ceron Carlos Andres</Document_x0020_Author>
    <Approval_x0020_date xmlns="cdc7663a-08f0-4737-9e8c-148ce897a09c" xsi:nil="true"/>
    <ic46d7e087fd4a108fb86518ca413cc6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 Salvador</TermName>
          <TermId xmlns="http://schemas.microsoft.com/office/infopath/2007/PartnerControls">057b77a9-2761-48a1-b9dc-78a115c002df</TermId>
        </TermInfo>
      </Terms>
    </ic46d7e087fd4a108fb86518ca413cc6>
    <Transaction_x0020_Type xmlns="cdc7663a-08f0-4737-9e8c-148ce897a09c" xsi:nil="true"/>
    <b26cdb1da78c4bb4b1c1bac2f6ac5911 xmlns="cdc7663a-08f0-4737-9e8c-148ce897a09c">
      <Terms xmlns="http://schemas.microsoft.com/office/infopath/2007/PartnerControls"/>
    </b26cdb1da78c4bb4b1c1bac2f6ac5911>
    <Migration_x0020_Info xmlns="cdc7663a-08f0-4737-9e8c-148ce897a09c" xsi:nil="true"/>
    <Package_x0020_Code xmlns="cdc7663a-08f0-4737-9e8c-148ce897a09c" xsi:nil="true"/>
    <Related_x0020_SisCor_x0020_Number xmlns="cdc7663a-08f0-4737-9e8c-148ce897a09c" xsi:nil="true"/>
    <Approval_x0020_Number xmlns="cdc7663a-08f0-4737-9e8c-148ce897a09c" xsi:nil="true"/>
    <ATI_x0020_Disclose_x0020_Document_x0020_Workflow_x0020_v6 xmlns="f5d13573-fb10-4da3-b855-85a14bda3a1f">
      <Url xsi:nil="true"/>
      <Description xsi:nil="true"/>
    </ATI_x0020_Disclose_x0020_Document_x0020_Workflow_x0020_v6>
    <e46fe2894295491da65140ffd2369f49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Preparation Planning and Design</TermName>
          <TermId xmlns="http://schemas.microsoft.com/office/infopath/2007/PartnerControls">29ca0c72-1fc4-435f-a09c-28585cb5eac9</TermId>
        </TermInfo>
      </Terms>
    </e46fe2894295491da65140ffd2369f49>
    <Business_x0020_Area xmlns="cdc7663a-08f0-4737-9e8c-148ce897a09c" xsi:nil="true"/>
    <SISCOR_x0020_Number xmlns="cdc7663a-08f0-4737-9e8c-148ce897a09c" xsi:nil="true"/>
    <Access_x0020_to_x0020_Information_x00a0_Policy xmlns="cdc7663a-08f0-4737-9e8c-148ce897a09c">Public</Access_x0020_to_x0020_Information_x00a0_Policy>
    <Identifier xmlns="cdc7663a-08f0-4737-9e8c-148ce897a09c" xsi:nil="true"/>
    <To_x003a_ xmlns="cdc7663a-08f0-4737-9e8c-148ce897a09c" xsi:nil="true"/>
    <From_x003a_ xmlns="cdc7663a-08f0-4737-9e8c-148ce897a09c" xsi:nil="true"/>
    <Document_x0020_Language_x0020_IDB xmlns="cdc7663a-08f0-4737-9e8c-148ce897a09c">Spanish</Document_x0020_Language_x0020_IDB>
    <b2ec7cfb18674cb8803df6b262e8b107 xmlns="cdc7663a-08f0-4737-9e8c-148ce897a09c">
      <Terms xmlns="http://schemas.microsoft.com/office/infopath/2007/PartnerControls"/>
    </b2ec7cfb18674cb8803df6b262e8b107>
    <g511464f9e53401d84b16fa9b379a574 xmlns="cdc7663a-08f0-4737-9e8c-148ce897a09c">
      <Terms xmlns="http://schemas.microsoft.com/office/infopath/2007/PartnerControls">
        <TermInfo xmlns="http://schemas.microsoft.com/office/infopath/2007/PartnerControls">
          <TermName xmlns="http://schemas.microsoft.com/office/infopath/2007/PartnerControls">ORC</TermName>
          <TermId xmlns="http://schemas.microsoft.com/office/infopath/2007/PartnerControls">c028a4b2-ad8b-4cf4-9cac-a2ae6a778e23</TermId>
        </TermInfo>
      </Terms>
    </g511464f9e53401d84b16fa9b379a574>
    <nddeef1749674d76abdbe4b239a70bc6 xmlns="cdc7663a-08f0-4737-9e8c-148ce897a09c">
      <Terms xmlns="http://schemas.microsoft.com/office/infopath/2007/PartnerControls"/>
    </nddeef1749674d76abdbe4b239a70bc6>
    <_dlc_DocIdUrl xmlns="cdc7663a-08f0-4737-9e8c-148ce897a09c">
      <Url>https://idbg.sharepoint.com/teams/EZ-ES-LON/ES-L1152/_layouts/15/DocIdRedir.aspx?ID=EZSHARE-1796633770-34</Url>
      <Description>EZSHARE-1796633770-34</Description>
    </_dlc_DocIdUrl>
    <Phase xmlns="cdc7663a-08f0-4737-9e8c-148ce897a09c" xsi:nil="true"/>
    <ATI_x0020_Undisclose_x0020_Document_x0020_Workflow xmlns="f5d13573-fb10-4da3-b855-85a14bda3a1f">
      <Url xsi:nil="true"/>
      <Description xsi:nil="true"/>
    </ATI_x0020_Undisclose_x0020_Document_x0020_Workflow>
    <Other_x0020_Author xmlns="cdc7663a-08f0-4737-9e8c-148ce897a09c" xsi:nil="true"/>
    <IDBDocs_x0020_Number xmlns="cdc7663a-08f0-4737-9e8c-148ce897a09c" xsi:nil="true"/>
    <TaxCatchAll xmlns="cdc7663a-08f0-4737-9e8c-148ce897a09c">
      <Value>27</Value>
      <Value>24</Value>
      <Value>1</Value>
    </TaxCatchAll>
    <Fiscal_x0020_Year_x0020_IDB xmlns="cdc7663a-08f0-4737-9e8c-148ce897a09c">2022</Fiscal_x0020_Year_x0020_IDB>
    <Operation_x0020_Type xmlns="cdc7663a-08f0-4737-9e8c-148ce897a09c">Loan Operation</Operation_x0020_Type>
    <Extracted_x0020_Keywords xmlns="cdc7663a-08f0-4737-9e8c-148ce897a09c" xsi:nil="true"/>
    <Project_x0020_Number xmlns="cdc7663a-08f0-4737-9e8c-148ce897a09c">ES-L1152;</Project_x0020_Number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ae61f9b1-e23d-4f49-b3d7-56b991556c4b" ContentTypeId="0x010100ACF722E9F6B0B149B0CD8BE2560A6672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_catalogs/masterpage/ECMForms/OperationsCT/View.aspx</Display>
  <Edit>_catalogs/masterpage/ECMForms/OperationsCT/Edit.aspx</Edit>
</FormUrl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ez-Operations" ma:contentTypeID="0x010100ACF722E9F6B0B149B0CD8BE2560A66720074C91EC93D497042BE10EAE6FBA708B0" ma:contentTypeVersion="5995" ma:contentTypeDescription="The base project type from which other project content types inherit their information." ma:contentTypeScope="" ma:versionID="5a67ee60750fcba5abaef2ee6ea1cde6">
  <xsd:schema xmlns:xsd="http://www.w3.org/2001/XMLSchema" xmlns:xs="http://www.w3.org/2001/XMLSchema" xmlns:p="http://schemas.microsoft.com/office/2006/metadata/properties" xmlns:ns2="cdc7663a-08f0-4737-9e8c-148ce897a09c" xmlns:ns3="f5d13573-fb10-4da3-b855-85a14bda3a1f" xmlns:ns4="b46e1a16-db50-4f97-93f8-ff4d6af46a05" targetNamespace="http://schemas.microsoft.com/office/2006/metadata/properties" ma:root="true" ma:fieldsID="3918711a21f9e50130ca40caa327d45f" ns2:_="" ns3:_="" ns4:_="">
    <xsd:import namespace="cdc7663a-08f0-4737-9e8c-148ce897a09c"/>
    <xsd:import namespace="f5d13573-fb10-4da3-b855-85a14bda3a1f"/>
    <xsd:import namespace="b46e1a16-db50-4f97-93f8-ff4d6af46a0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b26cdb1da78c4bb4b1c1bac2f6ac5911" minOccurs="0"/>
                <xsd:element ref="ns2:TaxCatchAll" minOccurs="0"/>
                <xsd:element ref="ns2:TaxCatchAllLabel" minOccurs="0"/>
                <xsd:element ref="ns2:Project_x0020_Number"/>
                <xsd:element ref="ns2:Access_x0020_to_x0020_Information_x00a0_Policy"/>
                <xsd:element ref="ns2:Document_x0020_Author" minOccurs="0"/>
                <xsd:element ref="ns2:Other_x0020_Author" minOccurs="0"/>
                <xsd:element ref="ns2:Approval_x0020_Number" minOccurs="0"/>
                <xsd:element ref="ns2:g511464f9e53401d84b16fa9b379a574" minOccurs="0"/>
                <xsd:element ref="ns2:Division_x0020_or_x0020_Unit" minOccurs="0"/>
                <xsd:element ref="ns2:Document_x0020_Language_x0020_IDB" minOccurs="0"/>
                <xsd:element ref="ns2:From_x003a_" minOccurs="0"/>
                <xsd:element ref="ns2:To_x003a_" minOccurs="0"/>
                <xsd:element ref="ns2:Identifier" minOccurs="0"/>
                <xsd:element ref="ns2:Fiscal_x0020_Year_x0020_IDB" minOccurs="0"/>
                <xsd:element ref="ns2:ic46d7e087fd4a108fb86518ca413cc6" minOccurs="0"/>
                <xsd:element ref="ns2:nddeef1749674d76abdbe4b239a70bc6" minOccurs="0"/>
                <xsd:element ref="ns2:b2ec7cfb18674cb8803df6b262e8b107" minOccurs="0"/>
                <xsd:element ref="ns2:Phase" minOccurs="0"/>
                <xsd:element ref="ns2:Key_x0020_Document" minOccurs="0"/>
                <xsd:element ref="ns2:Business_x0020_Area" minOccurs="0"/>
                <xsd:element ref="ns2:Project_x0020_Document_x0020_Type" minOccurs="0"/>
                <xsd:element ref="ns2:Operation_x0020_Type" minOccurs="0"/>
                <xsd:element ref="ns2:Package_x0020_Code" minOccurs="0"/>
                <xsd:element ref="ns2:e46fe2894295491da65140ffd2369f49" minOccurs="0"/>
                <xsd:element ref="ns2:SISCOR_x0020_Number" minOccurs="0"/>
                <xsd:element ref="ns2:IDBDocs_x0020_Number" minOccurs="0"/>
                <xsd:element ref="ns2:Migration_x0020_Info" minOccurs="0"/>
                <xsd:element ref="ns2:Record_x0020_Number" minOccurs="0"/>
                <xsd:element ref="ns2:Related_x0020_SisCor_x0020_Number" minOccurs="0"/>
                <xsd:element ref="ns2:Extracted_x0020_Keywords" minOccurs="0"/>
                <xsd:element ref="ns2:Approval_x0020_date" minOccurs="0"/>
                <xsd:element ref="ns2:Transaction_x0020_Type" minOccurs="0"/>
                <xsd:element ref="ns2:Transaction_x0020_Number" minOccurs="0"/>
                <xsd:element ref="ns3:ATI_x0020_Disclose_x0020_Document_x0020_Workflow_x0020_v6" minOccurs="0"/>
                <xsd:element ref="ns3:ATI_x0020_Undisclose_x0020_Document_x0020_Workflow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b26cdb1da78c4bb4b1c1bac2f6ac5911" ma:index="11" nillable="true" ma:taxonomy="true" ma:internalName="b26cdb1da78c4bb4b1c1bac2f6ac5911" ma:taxonomyFieldName="Series_x0020_Operations_x0020_IDB" ma:displayName="Series Operations IDB" ma:default="" ma:fieldId="{b26cdb1d-a78c-4bb4-b1c1-bac2f6ac5911}" ma:sspId="ae61f9b1-e23d-4f49-b3d7-56b991556c4b" ma:termSetId="aa8fb583-e935-416d-8a2e-4b97a8eb06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a21e8572-655e-4c0d-bfdb-c52ee7bb5839}" ma:internalName="TaxCatchAll" ma:showField="CatchAllData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21e8572-655e-4c0d-bfdb-c52ee7bb5839}" ma:internalName="TaxCatchAllLabel" ma:readOnly="true" ma:showField="CatchAllDataLabel" ma:web="0ae48fe9-e043-4151-95b7-4d4bdf090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oject_x0020_Number" ma:index="15" ma:displayName="Project Number" ma:internalName="Project_x0020_Number">
      <xsd:simpleType>
        <xsd:restriction base="dms:Text">
          <xsd:maxLength value="255"/>
        </xsd:restriction>
      </xsd:simpleType>
    </xsd:element>
    <xsd:element name="Access_x0020_to_x0020_Information_x00a0_Policy" ma:index="16" ma:displayName="Access to Information Policy" ma:default="Confidential" ma:format="Dropdown" ma:internalName="Access_x0020_to_x0020_Information_x00A0_Policy">
      <xsd:simpleType>
        <xsd:restriction base="dms:Choice">
          <xsd:enumeration value="Confidential"/>
          <xsd:enumeration value="Disclosed Over Time - 5 years"/>
          <xsd:enumeration value="Disclosed Over Time - 10 years"/>
          <xsd:enumeration value="Disclosed Over Time - 20 years"/>
          <xsd:enumeration value="Public"/>
          <xsd:enumeration value="Public - Simultaneous Disclosure"/>
        </xsd:restriction>
      </xsd:simpleType>
    </xsd:element>
    <xsd:element name="Document_x0020_Author" ma:index="17" nillable="true" ma:displayName="Document Author" ma:internalName="Document_x0020_Author">
      <xsd:simpleType>
        <xsd:restriction base="dms:Text">
          <xsd:maxLength value="255"/>
        </xsd:restriction>
      </xsd:simpleType>
    </xsd:element>
    <xsd:element name="Other_x0020_Author" ma:index="18" nillable="true" ma:displayName="Other Author" ma:internalName="Other_x0020_Author">
      <xsd:simpleType>
        <xsd:restriction base="dms:Text">
          <xsd:maxLength value="255"/>
        </xsd:restriction>
      </xsd:simpleType>
    </xsd:element>
    <xsd:element name="Approval_x0020_Number" ma:index="19" nillable="true" ma:displayName="Approval Number" ma:internalName="Approval_x0020_Number">
      <xsd:simpleType>
        <xsd:restriction base="dms:Text">
          <xsd:maxLength value="255"/>
        </xsd:restriction>
      </xsd:simpleType>
    </xsd:element>
    <xsd:element name="g511464f9e53401d84b16fa9b379a574" ma:index="20" nillable="true" ma:taxonomy="true" ma:internalName="g511464f9e53401d84b16fa9b379a574" ma:taxonomyFieldName="Fund_x0020_IDB" ma:displayName="Fund IDB" ma:default="" ma:fieldId="{0511464f-9e53-401d-84b1-6fa9b379a574}" ma:taxonomyMulti="true" ma:sspId="ae61f9b1-e23d-4f49-b3d7-56b991556c4b" ma:termSetId="69abb71a-f64f-4893-ac0e-66eb1be268a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ivision_x0020_or_x0020_Unit" ma:index="22" nillable="true" ma:displayName="Division or Unit" ma:internalName="Division_x0020_or_x0020_Unit">
      <xsd:simpleType>
        <xsd:restriction base="dms:Text">
          <xsd:maxLength value="255"/>
        </xsd:restriction>
      </xsd:simpleType>
    </xsd:element>
    <xsd:element name="Document_x0020_Language_x0020_IDB" ma:index="23" nillable="true" ma:displayName="Document Language IDB" ma:format="Dropdown" ma:internalName="Document_x0020_Language_x0020_IDB">
      <xsd:simpleType>
        <xsd:restriction base="dms:Choice">
          <xsd:enumeration value="English"/>
          <xsd:enumeration value="French"/>
          <xsd:enumeration value="Italian"/>
          <xsd:enumeration value="Japanese"/>
          <xsd:enumeration value="Korean"/>
          <xsd:enumeration value="Other"/>
          <xsd:enumeration value="Portuguese"/>
          <xsd:enumeration value="Spanish"/>
        </xsd:restriction>
      </xsd:simpleType>
    </xsd:element>
    <xsd:element name="From_x003a_" ma:index="24" nillable="true" ma:displayName="From:" ma:description="Sender name from email message" ma:internalName="From_x003A_">
      <xsd:simpleType>
        <xsd:restriction base="dms:Text">
          <xsd:maxLength value="255"/>
        </xsd:restriction>
      </xsd:simpleType>
    </xsd:element>
    <xsd:element name="To_x003a_" ma:index="25" nillable="true" ma:displayName="To:" ma:description="Addressee names from email message&#10;" ma:internalName="To_x003A_">
      <xsd:simpleType>
        <xsd:restriction base="dms:Text">
          <xsd:maxLength value="255"/>
        </xsd:restriction>
      </xsd:simpleType>
    </xsd:element>
    <xsd:element name="Identifier" ma:index="26" nillable="true" ma:displayName="Identifier" ma:internalName="Identifier">
      <xsd:simpleType>
        <xsd:restriction base="dms:Text">
          <xsd:maxLength value="255"/>
        </xsd:restriction>
      </xsd:simpleType>
    </xsd:element>
    <xsd:element name="Fiscal_x0020_Year_x0020_IDB" ma:index="27" nillable="true" ma:displayName="Fiscal Year IDB" ma:internalName="Fiscal_x0020_Year_x0020_IDB">
      <xsd:simpleType>
        <xsd:restriction base="dms:Text">
          <xsd:maxLength value="255"/>
        </xsd:restriction>
      </xsd:simpleType>
    </xsd:element>
    <xsd:element name="ic46d7e087fd4a108fb86518ca413cc6" ma:index="28" nillable="true" ma:taxonomy="true" ma:internalName="ic46d7e087fd4a108fb86518ca413cc6" ma:taxonomyFieldName="Country" ma:displayName="Country" ma:default="" ma:fieldId="{2c46d7e0-87fd-4a10-8fb8-6518ca413cc6}" ma:taxonomyMulti="true" ma:sspId="ae61f9b1-e23d-4f49-b3d7-56b991556c4b" ma:termSetId="e1cf2cf4-6e0f-476b-b38c-a4927f870e8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ddeef1749674d76abdbe4b239a70bc6" ma:index="30" nillable="true" ma:taxonomy="true" ma:internalName="nddeef1749674d76abdbe4b239a70bc6" ma:taxonomyFieldName="Sector_x0020_IDB" ma:displayName="Sector IDB" ma:default="" ma:fieldId="{7ddeef17-4967-4d76-abdb-e4b239a70bc6}" ma:taxonomyMulti="true" ma:sspId="ae61f9b1-e23d-4f49-b3d7-56b991556c4b" ma:termSetId="12408410-0417-4253-a5ed-d52c55de15d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b2ec7cfb18674cb8803df6b262e8b107" ma:index="32" nillable="true" ma:taxonomy="true" ma:internalName="b2ec7cfb18674cb8803df6b262e8b107" ma:taxonomyFieldName="Sub_x002d_Sector" ma:displayName="Sub-Sector" ma:default="" ma:fieldId="{b2ec7cfb-1867-4cb8-803d-f6b262e8b107}" ma:taxonomyMulti="true" ma:sspId="ae61f9b1-e23d-4f49-b3d7-56b991556c4b" ma:termSetId="73c9b9c8-b29b-461e-b5a6-c7e93795fb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hase" ma:index="34" nillable="true" ma:displayName="Phase" ma:internalName="Phase">
      <xsd:simpleType>
        <xsd:restriction base="dms:Text">
          <xsd:maxLength value="255"/>
        </xsd:restriction>
      </xsd:simpleType>
    </xsd:element>
    <xsd:element name="Key_x0020_Document" ma:index="35" nillable="true" ma:displayName="Key Document" ma:default="0" ma:internalName="Key_x0020_Document">
      <xsd:simpleType>
        <xsd:restriction base="dms:Boolean"/>
      </xsd:simpleType>
    </xsd:element>
    <xsd:element name="Business_x0020_Area" ma:index="36" nillable="true" ma:displayName="Business Area" ma:internalName="Business_x0020_Area">
      <xsd:simpleType>
        <xsd:restriction base="dms:Text">
          <xsd:maxLength value="255"/>
        </xsd:restriction>
      </xsd:simpleType>
    </xsd:element>
    <xsd:element name="Project_x0020_Document_x0020_Type" ma:index="37" nillable="true" ma:displayName="Project Document Type" ma:internalName="Project_x0020_Document_x0020_Type">
      <xsd:simpleType>
        <xsd:restriction base="dms:Text">
          <xsd:maxLength value="255"/>
        </xsd:restriction>
      </xsd:simpleType>
    </xsd:element>
    <xsd:element name="Operation_x0020_Type" ma:index="38" nillable="true" ma:displayName="Operation Type" ma:internalName="Operation_x0020_Type">
      <xsd:simpleType>
        <xsd:restriction base="dms:Text">
          <xsd:maxLength value="255"/>
        </xsd:restriction>
      </xsd:simpleType>
    </xsd:element>
    <xsd:element name="Package_x0020_Code" ma:index="39" nillable="true" ma:displayName="Package Code" ma:internalName="Package_x0020_Code">
      <xsd:simpleType>
        <xsd:restriction base="dms:Text">
          <xsd:maxLength value="255"/>
        </xsd:restriction>
      </xsd:simpleType>
    </xsd:element>
    <xsd:element name="e46fe2894295491da65140ffd2369f49" ma:index="40" nillable="true" ma:taxonomy="true" ma:internalName="e46fe2894295491da65140ffd2369f49" ma:taxonomyFieldName="Function_x0020_Operations_x0020_IDB" ma:displayName="Function Operations IDB" ma:default="" ma:fieldId="{e46fe289-4295-491d-a651-40ffd2369f49}" ma:sspId="ae61f9b1-e23d-4f49-b3d7-56b991556c4b" ma:termSetId="90662247-c2d7-4c02-8f80-a99fdf3aec7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ISCOR_x0020_Number" ma:index="42" nillable="true" ma:displayName="SISCOR Number" ma:internalName="SISCOR_x0020_Number">
      <xsd:simpleType>
        <xsd:restriction base="dms:Text">
          <xsd:maxLength value="255"/>
        </xsd:restriction>
      </xsd:simpleType>
    </xsd:element>
    <xsd:element name="IDBDocs_x0020_Number" ma:index="43" nillable="true" ma:displayName="IDBDocs Number" ma:internalName="IDBDocs_x0020_Number">
      <xsd:simpleType>
        <xsd:restriction base="dms:Text">
          <xsd:maxLength value="255"/>
        </xsd:restriction>
      </xsd:simpleType>
    </xsd:element>
    <xsd:element name="Migration_x0020_Info" ma:index="44" nillable="true" ma:displayName="Migration Info" ma:internalName="Migration_x0020_Info">
      <xsd:simpleType>
        <xsd:restriction base="dms:Note"/>
      </xsd:simpleType>
    </xsd:element>
    <xsd:element name="Record_x0020_Number" ma:index="45" nillable="true" ma:displayName="Record Number" ma:internalName="Record_x0020_Number">
      <xsd:simpleType>
        <xsd:restriction base="dms:Text">
          <xsd:maxLength value="255"/>
        </xsd:restriction>
      </xsd:simpleType>
    </xsd:element>
    <xsd:element name="Related_x0020_SisCor_x0020_Number" ma:index="46" nillable="true" ma:displayName="Related SisCor Number" ma:internalName="Related_x0020_SisCor_x0020_Number">
      <xsd:simpleType>
        <xsd:restriction base="dms:Text">
          <xsd:maxLength value="255"/>
        </xsd:restriction>
      </xsd:simpleType>
    </xsd:element>
    <xsd:element name="Extracted_x0020_Keywords" ma:index="47" nillable="true" ma:displayName="Extracted Keywords" ma:internalName="Extracted_x0020_Keyword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z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pproval_x0020_date" ma:index="48" nillable="true" ma:displayName="Approval date" ma:format="DateOnly" ma:internalName="Approval_x0020_date">
      <xsd:simpleType>
        <xsd:restriction base="dms:DateTime"/>
      </xsd:simpleType>
    </xsd:element>
    <xsd:element name="Transaction_x0020_Type" ma:index="49" nillable="true" ma:displayName="Transaction Type" ma:format="Dropdown" ma:internalName="Transaction_x0020_Type">
      <xsd:simpleType>
        <xsd:restriction base="dms:Choice">
          <xsd:enumeration value="APR"/>
          <xsd:enumeration value="APRR"/>
          <xsd:enumeration value="APRA"/>
          <xsd:enumeration value="API"/>
          <xsd:enumeration value="INC"/>
          <xsd:enumeration value="INCR"/>
          <xsd:enumeration value="BCL"/>
          <xsd:enumeration value="BCC"/>
          <xsd:enumeration value="FCM"/>
          <xsd:enumeration value="FCP"/>
          <xsd:enumeration value="FCPR"/>
          <xsd:enumeration value="FCA"/>
        </xsd:restriction>
      </xsd:simpleType>
    </xsd:element>
    <xsd:element name="Transaction_x0020_Number" ma:index="50" nillable="true" ma:displayName="Transaction Number" ma:internalName="Transaction_x0020_Numb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13573-fb10-4da3-b855-85a14bda3a1f" elementFormDefault="qualified">
    <xsd:import namespace="http://schemas.microsoft.com/office/2006/documentManagement/types"/>
    <xsd:import namespace="http://schemas.microsoft.com/office/infopath/2007/PartnerControls"/>
    <xsd:element name="ATI_x0020_Disclose_x0020_Document_x0020_Workflow_x0020_v6" ma:index="51" nillable="true" ma:displayName="ATI Disclose Document Workflow v6" ma:internalName="ATI_x0020_Disclose_x0020_Document_x0020_Workflow_x0020_v6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I_x0020_Undisclose_x0020_Document_x0020_Workflow" ma:index="52" nillable="true" ma:displayName="ATI Undisclose Document Workflow" ma:internalName="ATI_x0020_Undisclose_x0020_Document_x0020_Workflo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5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e1a16-db50-4f97-93f8-ff4d6af46a05" elementFormDefault="qualified">
    <xsd:import namespace="http://schemas.microsoft.com/office/2006/documentManagement/types"/>
    <xsd:import namespace="http://schemas.microsoft.com/office/infopath/2007/PartnerControls"/>
    <xsd:element name="SharedWithUsers" ma:index="5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38B209-9827-4829-914F-88FE9570A8AC}"/>
</file>

<file path=customXml/itemProps2.xml><?xml version="1.0" encoding="utf-8"?>
<ds:datastoreItem xmlns:ds="http://schemas.openxmlformats.org/officeDocument/2006/customXml" ds:itemID="{C130093D-560D-4425-902A-C7FD0693AC3A}"/>
</file>

<file path=customXml/itemProps3.xml><?xml version="1.0" encoding="utf-8"?>
<ds:datastoreItem xmlns:ds="http://schemas.openxmlformats.org/officeDocument/2006/customXml" ds:itemID="{EC972ADA-14E2-442F-8BA4-81379C3BB920}"/>
</file>

<file path=customXml/itemProps4.xml><?xml version="1.0" encoding="utf-8"?>
<ds:datastoreItem xmlns:ds="http://schemas.openxmlformats.org/officeDocument/2006/customXml" ds:itemID="{A3EEA7F4-78F3-4161-8A63-125B542D5954}"/>
</file>

<file path=customXml/itemProps5.xml><?xml version="1.0" encoding="utf-8"?>
<ds:datastoreItem xmlns:ds="http://schemas.openxmlformats.org/officeDocument/2006/customXml" ds:itemID="{E2D5A183-0E6D-4DDA-94C4-223357463B44}"/>
</file>

<file path=customXml/itemProps6.xml><?xml version="1.0" encoding="utf-8"?>
<ds:datastoreItem xmlns:ds="http://schemas.openxmlformats.org/officeDocument/2006/customXml" ds:itemID="{7645955F-753B-43D7-9392-96F2D4BA5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</dc:creator>
  <cp:keywords/>
  <dc:description/>
  <cp:lastModifiedBy>Estrada Regalado, Nelson Mauricio</cp:lastModifiedBy>
  <cp:revision/>
  <dcterms:created xsi:type="dcterms:W3CDTF">2022-04-26T03:11:13Z</dcterms:created>
  <dcterms:modified xsi:type="dcterms:W3CDTF">2022-07-22T17:21:06Z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Sub_x002d_Sector">
    <vt:lpwstr/>
  </property>
  <property fmtid="{D5CDD505-2E9C-101B-9397-08002B2CF9AE}" pid="4" name="ContentTypeId">
    <vt:lpwstr>0x010100ACF722E9F6B0B149B0CD8BE2560A66720074C91EC93D497042BE10EAE6FBA708B0</vt:lpwstr>
  </property>
  <property fmtid="{D5CDD505-2E9C-101B-9397-08002B2CF9AE}" pid="5" name="TaxKeywordTaxHTField">
    <vt:lpwstr/>
  </property>
  <property fmtid="{D5CDD505-2E9C-101B-9397-08002B2CF9AE}" pid="6" name="Fund_x0020_IDB">
    <vt:lpwstr/>
  </property>
  <property fmtid="{D5CDD505-2E9C-101B-9397-08002B2CF9AE}" pid="7" name="Country">
    <vt:lpwstr>24;#El Salvador|057b77a9-2761-48a1-b9dc-78a115c002df</vt:lpwstr>
  </property>
  <property fmtid="{D5CDD505-2E9C-101B-9397-08002B2CF9AE}" pid="8" name="_dlc_DocIdItemGuid">
    <vt:lpwstr>8369b634-bff4-4560-b278-ddecf3dd952a</vt:lpwstr>
  </property>
  <property fmtid="{D5CDD505-2E9C-101B-9397-08002B2CF9AE}" pid="9" name="Fund IDB">
    <vt:lpwstr>27;#ORC|c028a4b2-ad8b-4cf4-9cac-a2ae6a778e23</vt:lpwstr>
  </property>
  <property fmtid="{D5CDD505-2E9C-101B-9397-08002B2CF9AE}" pid="10" name="Series_x0020_Operations_x0020_IDB">
    <vt:lpwstr/>
  </property>
  <property fmtid="{D5CDD505-2E9C-101B-9397-08002B2CF9AE}" pid="11" name="Sector IDB">
    <vt:lpwstr/>
  </property>
  <property fmtid="{D5CDD505-2E9C-101B-9397-08002B2CF9AE}" pid="12" name="Function Operations IDB">
    <vt:lpwstr>1;#Project Preparation Planning and Design|29ca0c72-1fc4-435f-a09c-28585cb5eac9</vt:lpwstr>
  </property>
  <property fmtid="{D5CDD505-2E9C-101B-9397-08002B2CF9AE}" pid="13" name="Sector_x0020_IDB">
    <vt:lpwstr/>
  </property>
  <property fmtid="{D5CDD505-2E9C-101B-9397-08002B2CF9AE}" pid="15" name="Sub-Sector">
    <vt:lpwstr/>
  </property>
  <property fmtid="{D5CDD505-2E9C-101B-9397-08002B2CF9AE}" pid="16" name="Disclosure Activity">
    <vt:lpwstr>Electronic Links</vt:lpwstr>
  </property>
  <property fmtid="{D5CDD505-2E9C-101B-9397-08002B2CF9AE}" pid="17" name="Webtopic">
    <vt:lpwstr/>
  </property>
  <property fmtid="{D5CDD505-2E9C-101B-9397-08002B2CF9AE}" pid="18" name="Series Operations IDB">
    <vt:lpwstr/>
  </property>
</Properties>
</file>