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.sharepoint.com/teams/EZ-ES-LON/ES-L1152/15 LifeCycle Milestones/POD a QRR/EEO Opcionales/"/>
    </mc:Choice>
  </mc:AlternateContent>
  <xr:revisionPtr revIDLastSave="2" documentId="8_{45E85879-D5CE-494F-A937-EDDE4B5DC0E7}" xr6:coauthVersionLast="47" xr6:coauthVersionMax="47" xr10:uidLastSave="{0F833BF2-256D-4EE1-95F3-39A0B2976E53}"/>
  <bookViews>
    <workbookView xWindow="-110" yWindow="-110" windowWidth="19420" windowHeight="10420" tabRatio="895" xr2:uid="{00000000-000D-0000-FFFF-FFFF00000000}"/>
  </bookViews>
  <sheets>
    <sheet name="Relatório_PMR" sheetId="1" r:id="rId1"/>
  </sheets>
  <definedNames>
    <definedName name="_xlnm.Print_Area" localSheetId="0">Relatório_PMR!$A$1:$BS$250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09" i="1" l="1"/>
  <c r="BE241" i="1"/>
  <c r="AW241" i="1"/>
  <c r="AR241" i="1"/>
  <c r="AK241" i="1"/>
  <c r="AE241" i="1"/>
  <c r="AE236" i="1"/>
  <c r="AE243" i="1" s="1"/>
  <c r="AF249" i="1" s="1"/>
  <c r="AK236" i="1"/>
  <c r="AR236" i="1"/>
  <c r="AW236" i="1"/>
  <c r="BE236" i="1"/>
  <c r="K236" i="1"/>
  <c r="AK197" i="1"/>
  <c r="AE197" i="1"/>
  <c r="AE193" i="1"/>
  <c r="AE209" i="1" s="1"/>
  <c r="BR209" i="1" s="1"/>
  <c r="K182" i="1"/>
  <c r="K190" i="1" s="1"/>
  <c r="K193" i="1"/>
  <c r="K209" i="1" s="1"/>
  <c r="BR184" i="1"/>
  <c r="BE182" i="1"/>
  <c r="BE190" i="1" s="1"/>
  <c r="AW182" i="1"/>
  <c r="AW190" i="1" s="1"/>
  <c r="AR182" i="1"/>
  <c r="AR190" i="1" s="1"/>
  <c r="AK182" i="1"/>
  <c r="AK190" i="1" s="1"/>
  <c r="AE182" i="1"/>
  <c r="AE190" i="1" s="1"/>
  <c r="BE193" i="1"/>
  <c r="BE209" i="1" s="1"/>
  <c r="AW193" i="1"/>
  <c r="AW209" i="1" s="1"/>
  <c r="AR193" i="1"/>
  <c r="AR209" i="1" s="1"/>
  <c r="BR234" i="1"/>
  <c r="A234" i="1"/>
  <c r="BR232" i="1"/>
  <c r="A232" i="1"/>
  <c r="BR230" i="1"/>
  <c r="A230" i="1"/>
  <c r="BR228" i="1"/>
  <c r="A228" i="1"/>
  <c r="Y190" i="1"/>
  <c r="BR190" i="1" s="1"/>
  <c r="BR207" i="1"/>
  <c r="A207" i="1"/>
  <c r="BR186" i="1"/>
  <c r="A186" i="1"/>
  <c r="A184" i="1"/>
  <c r="A182" i="1"/>
  <c r="BR205" i="1"/>
  <c r="A205" i="1"/>
  <c r="BR171" i="1"/>
  <c r="BR169" i="1"/>
  <c r="BR167" i="1"/>
  <c r="BR165" i="1"/>
  <c r="BR145" i="1"/>
  <c r="BR125" i="1"/>
  <c r="BR123" i="1"/>
  <c r="BR121" i="1"/>
  <c r="BR143" i="1"/>
  <c r="Q110" i="1"/>
  <c r="Q109" i="1"/>
  <c r="Q108" i="1"/>
  <c r="Q107" i="1"/>
  <c r="Q102" i="1"/>
  <c r="Q97" i="1"/>
  <c r="Q92" i="1"/>
  <c r="A110" i="1"/>
  <c r="A109" i="1"/>
  <c r="A108" i="1"/>
  <c r="A107" i="1"/>
  <c r="G104" i="1"/>
  <c r="G99" i="1"/>
  <c r="G94" i="1"/>
  <c r="G89" i="1"/>
  <c r="BR58" i="1"/>
  <c r="BO38" i="1"/>
  <c r="Y236" i="1"/>
  <c r="BR236" i="1" s="1"/>
  <c r="A226" i="1"/>
  <c r="BR226" i="1"/>
  <c r="BR224" i="1"/>
  <c r="A224" i="1"/>
  <c r="BR222" i="1"/>
  <c r="A222" i="1"/>
  <c r="A211" i="1"/>
  <c r="BR163" i="1"/>
  <c r="BR161" i="1"/>
  <c r="BR159" i="1"/>
  <c r="BR157" i="1"/>
  <c r="BR155" i="1"/>
  <c r="BR153" i="1"/>
  <c r="BR151" i="1"/>
  <c r="BR149" i="1"/>
  <c r="BR203" i="1"/>
  <c r="A203" i="1"/>
  <c r="A201" i="1"/>
  <c r="A199" i="1"/>
  <c r="A197" i="1"/>
  <c r="A195" i="1"/>
  <c r="A193" i="1"/>
  <c r="A188" i="1"/>
  <c r="A180" i="1"/>
  <c r="A178" i="1"/>
  <c r="BR127" i="1"/>
  <c r="BR117" i="1"/>
  <c r="BR119" i="1"/>
  <c r="BR131" i="1"/>
  <c r="BR133" i="1"/>
  <c r="BR141" i="1"/>
  <c r="BR135" i="1"/>
  <c r="BR137" i="1"/>
  <c r="BR139" i="1"/>
  <c r="A102" i="1"/>
  <c r="BR239" i="1"/>
  <c r="M239" i="1"/>
  <c r="M241" i="1"/>
  <c r="A220" i="1"/>
  <c r="A218" i="1"/>
  <c r="A216" i="1"/>
  <c r="A214" i="1"/>
  <c r="A212" i="1"/>
  <c r="BR218" i="1"/>
  <c r="BR216" i="1"/>
  <c r="BR214" i="1"/>
  <c r="BR212" i="1"/>
  <c r="W241" i="1"/>
  <c r="W243" i="1" s="1"/>
  <c r="AA249" i="1" s="1"/>
  <c r="BR241" i="1"/>
  <c r="A97" i="1"/>
  <c r="A177" i="1"/>
  <c r="A92" i="1"/>
  <c r="BR201" i="1"/>
  <c r="BR199" i="1"/>
  <c r="BR178" i="1"/>
  <c r="BR180" i="1"/>
  <c r="BR220" i="1"/>
  <c r="BR188" i="1"/>
  <c r="BR195" i="1"/>
  <c r="AW243" i="1"/>
  <c r="BA249" i="1"/>
  <c r="AK193" i="1"/>
  <c r="AK209" i="1" s="1"/>
  <c r="BR193" i="1"/>
  <c r="AK243" i="1"/>
  <c r="AL249" i="1" s="1"/>
  <c r="M243" i="1" l="1"/>
  <c r="I249" i="1" s="1"/>
  <c r="BR182" i="1"/>
  <c r="BR197" i="1"/>
  <c r="AR243" i="1"/>
  <c r="BE243" i="1"/>
  <c r="BI249" i="1" s="1"/>
  <c r="BR243" i="1" l="1"/>
  <c r="AS249" i="1"/>
  <c r="BO249" i="1" s="1"/>
</calcChain>
</file>

<file path=xl/sharedStrings.xml><?xml version="1.0" encoding="utf-8"?>
<sst xmlns="http://schemas.openxmlformats.org/spreadsheetml/2006/main" count="387" uniqueCount="178">
  <si>
    <t>INFORME DE SEGUIMIENTO DE PROGRESO</t>
  </si>
  <si>
    <t>Banco Interamericano de Desarrollo - BID</t>
  </si>
  <si>
    <t>ES-L 1152</t>
  </si>
  <si>
    <t>Última Actualización del PMR: 12/06/2022</t>
  </si>
  <si>
    <t>Datos Básicos</t>
  </si>
  <si>
    <t>Fondos Disponibles (US$)</t>
  </si>
  <si>
    <t>Fechas</t>
  </si>
  <si>
    <t>Préstamo</t>
  </si>
  <si>
    <t xml:space="preserve">Fecha de Aprobación: </t>
  </si>
  <si>
    <t xml:space="preserve">Fecha de Expiración Original de Desembolso: </t>
  </si>
  <si>
    <t>Monto Aprobado Actual</t>
  </si>
  <si>
    <t xml:space="preserve">Fecha de Firma: </t>
  </si>
  <si>
    <t xml:space="preserve">Fecha de Expiración de Desembolso Actual: </t>
  </si>
  <si>
    <t>Monto Desembolsado a la fecha</t>
  </si>
  <si>
    <t xml:space="preserve">Fecha de Efectividad del Contrato: </t>
  </si>
  <si>
    <t xml:space="preserve">Extensión Acumulativa (meses): </t>
  </si>
  <si>
    <t>% Desembolsado</t>
  </si>
  <si>
    <t xml:space="preserve">Fecha de Elegibilidad: </t>
  </si>
  <si>
    <t xml:space="preserve">Extensiones Especiales (meses): </t>
  </si>
  <si>
    <t>Saldo</t>
  </si>
  <si>
    <t xml:space="preserve">Fecha de Primer Desembolso: </t>
  </si>
  <si>
    <t>Datos Básicos del Proyecto</t>
  </si>
  <si>
    <t>Número(s) de Préstamo:</t>
  </si>
  <si>
    <t>Agencia Ejecutora (AE):</t>
  </si>
  <si>
    <t>ANDA</t>
  </si>
  <si>
    <t>Jefe de Equipo:</t>
  </si>
  <si>
    <t>Omar Garzonio</t>
  </si>
  <si>
    <t>Tipo de Operación:</t>
  </si>
  <si>
    <t>INV - Inversión</t>
  </si>
  <si>
    <t>Operación(es) Relacionada(s):</t>
  </si>
  <si>
    <t>Subtipo de Operación:</t>
  </si>
  <si>
    <t>Instrumento de Crédito:</t>
  </si>
  <si>
    <t>Investment</t>
  </si>
  <si>
    <t>Prestatario:</t>
  </si>
  <si>
    <t>EL SALVADOR</t>
  </si>
  <si>
    <t>Sector:</t>
  </si>
  <si>
    <t>Etapa:</t>
  </si>
  <si>
    <t>Status de Proyecto:</t>
  </si>
  <si>
    <t xml:space="preserve">IDB-8 Mandatos del Financiamiento </t>
  </si>
  <si>
    <t>Fuente</t>
  </si>
  <si>
    <t>(  ) Inversiones en zonas pobres</t>
  </si>
  <si>
    <t xml:space="preserve">BID Original: </t>
  </si>
  <si>
    <t>(  ) Refuerzo en igualdad social</t>
  </si>
  <si>
    <t xml:space="preserve">Actual BID: </t>
  </si>
  <si>
    <t xml:space="preserve">Pari-passu: </t>
  </si>
  <si>
    <t xml:space="preserve">IDB-9 Objetivos del Financiamiento </t>
  </si>
  <si>
    <t xml:space="preserve">Co-financiamiento/País: </t>
  </si>
  <si>
    <t xml:space="preserve">Período de Amortización (meses): </t>
  </si>
  <si>
    <t>(     ) Países pequeños y vulnerables</t>
  </si>
  <si>
    <t>(     ) Reducción de la pobreza y aumento de la equidad</t>
  </si>
  <si>
    <t>Costo Total del Proyecto</t>
  </si>
  <si>
    <t>(     ) Cambio climático, energía sostenible y sostenibilidad ambiental</t>
  </si>
  <si>
    <t>(     ) Cooperación e integración regionales</t>
  </si>
  <si>
    <t xml:space="preserve">Estimado Original: </t>
  </si>
  <si>
    <t>Categoría de Impacto Ambiental y Social del Proyecto</t>
  </si>
  <si>
    <t>Reformulación</t>
  </si>
  <si>
    <t xml:space="preserve">Categoría de Impacto Ambiental y Social del Proyecto: </t>
  </si>
  <si>
    <t>(     ) ¿El objetivo (s) del proyecto fue reformulado?</t>
  </si>
  <si>
    <t xml:space="preserve">Fecha de aprobación por el Directorio: </t>
  </si>
  <si>
    <t>Evaluación (importado del DEM)</t>
  </si>
  <si>
    <t>Desempeño Económico</t>
  </si>
  <si>
    <t>(     ) Reflexiva (Antes/Después)</t>
  </si>
  <si>
    <t>(     ) Quasi experimental</t>
  </si>
  <si>
    <t>(     ) Efectividad de Costo</t>
  </si>
  <si>
    <t>(     ) Experimental</t>
  </si>
  <si>
    <t>(     ) Tasa de Retorno Económico (ERR)</t>
  </si>
  <si>
    <t xml:space="preserve">Objetivo del Proyecto: </t>
  </si>
  <si>
    <t>El objetivo general de apoyar al gobierno de El Salvador en el fortalecimiento del sector de agua y saneamiento, específicamente contribuyendo a la mejora del desempeño y la sostenibilidad de la Administración Nacional de Acueductos y Alcantarillado (ANDA).</t>
  </si>
  <si>
    <t>Resultados</t>
  </si>
  <si>
    <t xml:space="preserve">Resultado 1: </t>
  </si>
  <si>
    <t>Mejorar la calidad de la prestación de los servicios de agua potable en el Área Metropolitana de San Salvador</t>
  </si>
  <si>
    <t>Indicador</t>
  </si>
  <si>
    <t>Unidad de Medida</t>
  </si>
  <si>
    <t>Línea de base</t>
  </si>
  <si>
    <t>Ano Línea de base</t>
  </si>
  <si>
    <t>Ano 1</t>
  </si>
  <si>
    <t>Ano 2</t>
  </si>
  <si>
    <t>Ano 3</t>
  </si>
  <si>
    <t>Ano 4</t>
  </si>
  <si>
    <t>Ano 5</t>
  </si>
  <si>
    <t>Fin de Proyecto</t>
  </si>
  <si>
    <t xml:space="preserve">1. Hogares con acceso a agua potable por lo menos de 12 horas al día 7 días a la semana en el área de intervención del programa.  </t>
  </si>
  <si>
    <t>Hogar</t>
  </si>
  <si>
    <t>P</t>
  </si>
  <si>
    <t>A</t>
  </si>
  <si>
    <t>Resultado 2:</t>
  </si>
  <si>
    <t>Reducir los niveles de Agua no Contabilizada (ANC) en el Área Metropolitana de San Salvador</t>
  </si>
  <si>
    <t>2. Índice de Pérdidas de Distribución en el área de intervención del programa</t>
  </si>
  <si>
    <t>%</t>
  </si>
  <si>
    <t>Resultado 3:</t>
  </si>
  <si>
    <t xml:space="preserve">Mejorar la eficiencia energética de los sistemas de agua potable en el Área Metropolitana de San Salvador </t>
  </si>
  <si>
    <t>3. Consumo de energía por metro cúbico de agua producido en el área de intervención del programa</t>
  </si>
  <si>
    <t>kWh/m3</t>
  </si>
  <si>
    <t>4. Reducción de emisiones de Gases de Efecto Invernadero (GEI) por m3 de agua producido en el área de intervención del programa.</t>
  </si>
  <si>
    <t>N/A</t>
  </si>
  <si>
    <t>Resultado 4:</t>
  </si>
  <si>
    <t>Mejorar la gestión empresarial de ANDA</t>
  </si>
  <si>
    <t>5. Ingresos operativos (tarifas) anuales / costos operativos anuales</t>
  </si>
  <si>
    <t>6. Proyectos de inversión de AyS priorizados por ANDA para el AMS que siguen las directrices del plan maestro de AyS</t>
  </si>
  <si>
    <t>7. Procesos de ANDA automatizados e integrados (Financiero, Comercial, RRHH y Compras)</t>
  </si>
  <si>
    <t>proceso</t>
  </si>
  <si>
    <t>8. % de mujeres empleadas en ANDA</t>
  </si>
  <si>
    <t>Medios de verificación y observaciones de indicadores de Resultados</t>
  </si>
  <si>
    <t>Medios de Verificación</t>
  </si>
  <si>
    <t>Observaciones</t>
  </si>
  <si>
    <t>MV: Informe de centro de control de sistemas de ANDA</t>
  </si>
  <si>
    <t>MV: Boletín estadístico anual de ANDA</t>
  </si>
  <si>
    <t>Índice de Perdidas de Distribución = 1 - (Volumen facturado/Volumen producido)</t>
  </si>
  <si>
    <t>Consumo anual de energía/volumen de
agua producido.</t>
  </si>
  <si>
    <t>MV: Informes de estados financieros auditados de ANDA</t>
  </si>
  <si>
    <t>MV: Informe de proyectos del sistema de inversión publica del Ministerio de Hacienda</t>
  </si>
  <si>
    <t>MV: Reportes integrados del sistema ERP</t>
  </si>
  <si>
    <t>Productos</t>
  </si>
  <si>
    <t>Producto</t>
  </si>
  <si>
    <t>Ano 0</t>
  </si>
  <si>
    <t>Meta Final</t>
  </si>
  <si>
    <t>Componente 1:  Reducción de los niveles de agua no contabilizada</t>
  </si>
  <si>
    <t>Sectorización, regulación y monitoreo de la red de distribución de Zona Norte implementada</t>
  </si>
  <si>
    <t>Sistema</t>
  </si>
  <si>
    <t>Micromedidores adquiridos e instalados</t>
  </si>
  <si>
    <t>micromedidor</t>
  </si>
  <si>
    <t>Plan de Gestión y operación en AP&amp;S de ANDA fortalecida</t>
  </si>
  <si>
    <t>plan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</si>
  <si>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Equipos para gestión  adquiridos</t>
    </r>
  </si>
  <si>
    <t>equipo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</si>
  <si>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Equipos para operación  adquiridos</t>
    </r>
  </si>
  <si>
    <t>Proyectos de agua potable en el AMSS que no están en la muestra construidos o ampliados</t>
  </si>
  <si>
    <t>Componente 2:  Mejora de la eficiencia energética</t>
  </si>
  <si>
    <t>Sistema de producción de la Zona Norte mejorado</t>
  </si>
  <si>
    <t>sistema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</si>
  <si>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Pozos en recintos 3ª, 4 y 7 de Opico, Jabalí 1 y 2, Colombia 4 construidos</t>
    </r>
  </si>
  <si>
    <t>pozo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</si>
  <si>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Pozos rehabilitados</t>
    </r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</si>
  <si>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Obras de refuerzo entre Pozos y Estación de Bombeo La Toma mejorada</t>
    </r>
  </si>
  <si>
    <t>obra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</si>
  <si>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 xml:space="preserve">: Línea de Conducción La Toma / EB Central mejorada </t>
    </r>
  </si>
  <si>
    <t>Km</t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</si>
  <si>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Obras de adecuación en cruces de quebradas en línea de conducción de la Estación de Bombeo Central / Estación de Bombeo San Ramón mejorada</t>
    </r>
  </si>
  <si>
    <r>
      <rPr>
        <u/>
        <sz val="8"/>
        <color indexed="8"/>
        <rFont val="Arial"/>
        <family val="2"/>
      </rPr>
      <t>Hito</t>
    </r>
    <r>
      <rPr>
        <sz val="8"/>
        <color indexed="8"/>
        <rFont val="Arial"/>
        <family val="2"/>
      </rPr>
      <t>: Subestación Nejapa rehabilitada</t>
    </r>
  </si>
  <si>
    <t>subestación</t>
  </si>
  <si>
    <t>Proyectos de mejora de la eficiencia energética que no están en la muestra implementados.</t>
  </si>
  <si>
    <t>proyecto</t>
  </si>
  <si>
    <t>Componente 3: Mejora de la gestión</t>
  </si>
  <si>
    <t>Plan de desarrollo organizacional de ANDA diseñado e implementado.</t>
  </si>
  <si>
    <t>Plan de acción de Gobierno Corporativo implementado (al menos 2 actividades)</t>
  </si>
  <si>
    <t>Plan de modernización tecnológica de ANDA diseñado e implementado</t>
  </si>
  <si>
    <t>Equipamientos  para la Unidad de Género adquiridos.</t>
  </si>
  <si>
    <t>equipos</t>
  </si>
  <si>
    <t>Diagnóstico y política de género para la reducción de brechas laborales de ANDA actualizadas.</t>
  </si>
  <si>
    <t>diagnóstico</t>
  </si>
  <si>
    <t>Módulo de indicadores de género para el Sistema de Información ERP desarrollado</t>
  </si>
  <si>
    <t>módulo</t>
  </si>
  <si>
    <t>Estrategia de inclusión laboral de personas con discapacidad en ANDA diseñada</t>
  </si>
  <si>
    <t>estrategia</t>
  </si>
  <si>
    <t>Plan Maestro de Agua y Saneamiento para el AMSS desarrollado.</t>
  </si>
  <si>
    <t>Programa de planificación estratégica y financiera de ANDA implementado .</t>
  </si>
  <si>
    <t>programa</t>
  </si>
  <si>
    <t>Plan de comunicación de ANDA diseñado e implementado.</t>
  </si>
  <si>
    <t>Set de normas técnicas de ANDA actualizadas</t>
  </si>
  <si>
    <t>normas</t>
  </si>
  <si>
    <t>Laboratorios de calidad de agua fortalecidos</t>
  </si>
  <si>
    <t>laboratorio</t>
  </si>
  <si>
    <t>Costos</t>
  </si>
  <si>
    <t>(US$ 000)</t>
  </si>
  <si>
    <t>Costo Total (US$)</t>
  </si>
  <si>
    <t>Fin del Proyecto</t>
  </si>
  <si>
    <t>Subtotal Componente 1</t>
  </si>
  <si>
    <t>Subtotal Componente 2</t>
  </si>
  <si>
    <t>Subtotal Componente 3</t>
  </si>
  <si>
    <t>Título Componente: Administración</t>
  </si>
  <si>
    <t>Administración, Auditoria y M&amp;E</t>
  </si>
  <si>
    <t>Subtotal Gestión del Programa</t>
  </si>
  <si>
    <t>Total</t>
  </si>
  <si>
    <t>Desembolsos</t>
  </si>
  <si>
    <t>Financiamento BID</t>
  </si>
  <si>
    <t>Desembolso Total a la Fecha</t>
  </si>
  <si>
    <t>TOTAL</t>
  </si>
  <si>
    <t>Total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</si>
</sst>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43" formatCode="_(* #,##0.00_);_(* \(#,##0.00\);_(* &quot;-&quot;??_);_(@_)"/>
    <numFmt numFmtId="164" formatCode="##,###,##0.00"/>
    <numFmt numFmtId="165" formatCode="#0.00"/>
    <numFmt numFmtId="166" formatCode="#,###,##0.00"/>
    <numFmt numFmtId="167" formatCode="##0.00"/>
    <numFmt numFmtId="168" formatCode="000"/>
    <numFmt numFmtId="169" formatCode="0000"/>
    <numFmt numFmtId="170" formatCode="###,##0.00"/>
    <numFmt numFmtId="171" formatCode="##,000"/>
    <numFmt numFmtId="172" formatCode="#,000"/>
    <numFmt numFmtId="173" formatCode="###,000"/>
    <numFmt numFmtId="174" formatCode="##,###,##0"/>
    <numFmt numFmtId="175" formatCode="0.0"/>
    <numFmt numFmtId="176" formatCode="###,##0.0"/>
    <numFmt numFmtId="177" formatCode="###,##0"/>
    <numFmt numFmtId="178" formatCode="#,###,##0"/>
    <numFmt numFmtId="179" formatCode="#,##0.0"/>
  </numFmts>
  <fonts count="20" x14ac:knownFonts="1">
    <font>
      <sz val="10"/>
      <name val="Arial"/>
    </font>
    <font>
      <sz val="10"/>
      <name val="Arial"/>
    </font>
    <font>
      <sz val="7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9"/>
      <color indexed="8"/>
      <name val="Arial"/>
      <family val="2"/>
    </font>
    <font>
      <i/>
      <sz val="9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i/>
      <sz val="8"/>
      <color indexed="8"/>
      <name val="Arial"/>
      <family val="2"/>
    </font>
    <font>
      <u/>
      <sz val="8"/>
      <color indexed="8"/>
      <name val="Arial"/>
      <family val="2"/>
    </font>
    <font>
      <b/>
      <i/>
      <sz val="9"/>
      <color indexed="8"/>
      <name val="Arial"/>
      <family val="2"/>
    </font>
    <font>
      <b/>
      <i/>
      <sz val="8"/>
      <color indexed="8"/>
      <name val="Arial"/>
      <family val="2"/>
    </font>
    <font>
      <b/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  <xf numFmtId="41" fontId="1" fillId="0" borderId="0" applyNumberFormat="0" applyFont="0" applyFill="0" applyBorder="0" applyAlignment="0" applyProtection="0"/>
    <xf numFmtId="9" fontId="1" fillId="0" borderId="0" applyNumberFormat="0" applyFont="0" applyFill="0" applyBorder="0" applyAlignment="0" applyProtection="0"/>
  </cellStyleXfs>
  <cellXfs count="328">
    <xf numFmtId="0" fontId="0" fillId="0" borderId="0" xfId="0" applyNumberFormat="1" applyFont="1" applyFill="1" applyBorder="1" applyAlignment="1"/>
    <xf numFmtId="0" fontId="4" fillId="2" borderId="0" xfId="0" applyNumberFormat="1" applyFont="1" applyFill="1" applyBorder="1" applyAlignment="1">
      <alignment horizontal="left" vertical="top" wrapText="1"/>
    </xf>
    <xf numFmtId="0" fontId="4" fillId="3" borderId="0" xfId="0" applyNumberFormat="1" applyFont="1" applyFill="1" applyBorder="1" applyAlignment="1">
      <alignment horizontal="left" vertical="top" wrapText="1"/>
    </xf>
    <xf numFmtId="0" fontId="7" fillId="2" borderId="0" xfId="0" applyNumberFormat="1" applyFont="1" applyFill="1" applyBorder="1" applyAlignment="1">
      <alignment horizontal="left" vertical="top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41" fontId="8" fillId="0" borderId="0" xfId="0" applyNumberFormat="1" applyFont="1" applyFill="1" applyBorder="1" applyAlignment="1"/>
    <xf numFmtId="3" fontId="8" fillId="0" borderId="0" xfId="0" applyNumberFormat="1" applyFont="1" applyFill="1" applyBorder="1" applyAlignment="1"/>
    <xf numFmtId="0" fontId="8" fillId="5" borderId="0" xfId="0" applyNumberFormat="1" applyFont="1" applyFill="1" applyBorder="1" applyAlignment="1">
      <alignment vertical="center"/>
    </xf>
    <xf numFmtId="0" fontId="10" fillId="5" borderId="0" xfId="0" applyNumberFormat="1" applyFont="1" applyFill="1" applyBorder="1" applyAlignment="1">
      <alignment vertical="center"/>
    </xf>
    <xf numFmtId="0" fontId="6" fillId="5" borderId="4" xfId="0" applyNumberFormat="1" applyFont="1" applyFill="1" applyBorder="1" applyAlignment="1">
      <alignment horizontal="right" vertical="center" wrapText="1"/>
    </xf>
    <xf numFmtId="0" fontId="6" fillId="5" borderId="5" xfId="0" applyNumberFormat="1" applyFont="1" applyFill="1" applyBorder="1" applyAlignment="1">
      <alignment horizontal="right" vertical="center" wrapText="1"/>
    </xf>
    <xf numFmtId="0" fontId="14" fillId="0" borderId="0" xfId="0" applyNumberFormat="1" applyFont="1" applyFill="1" applyBorder="1" applyAlignment="1">
      <alignment vertical="center"/>
    </xf>
    <xf numFmtId="0" fontId="6" fillId="2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/>
    <xf numFmtId="178" fontId="10" fillId="0" borderId="0" xfId="0" applyNumberFormat="1" applyFont="1" applyFill="1" applyBorder="1" applyAlignment="1"/>
    <xf numFmtId="3" fontId="14" fillId="0" borderId="0" xfId="0" applyNumberFormat="1" applyFont="1" applyFill="1" applyBorder="1" applyAlignment="1">
      <alignment vertical="center"/>
    </xf>
    <xf numFmtId="3" fontId="10" fillId="5" borderId="0" xfId="0" applyNumberFormat="1" applyFont="1" applyFill="1" applyBorder="1" applyAlignment="1">
      <alignment vertical="center"/>
    </xf>
    <xf numFmtId="0" fontId="12" fillId="5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right"/>
    </xf>
    <xf numFmtId="0" fontId="6" fillId="6" borderId="7" xfId="0" applyNumberFormat="1" applyFont="1" applyFill="1" applyBorder="1" applyAlignment="1">
      <alignment horizontal="center" vertical="center" wrapText="1"/>
    </xf>
    <xf numFmtId="0" fontId="15" fillId="3" borderId="4" xfId="0" applyNumberFormat="1" applyFont="1" applyFill="1" applyBorder="1" applyAlignment="1">
      <alignment vertical="center" wrapText="1"/>
    </xf>
    <xf numFmtId="0" fontId="15" fillId="3" borderId="7" xfId="0" applyNumberFormat="1" applyFont="1" applyFill="1" applyBorder="1" applyAlignment="1">
      <alignment vertical="center" wrapText="1"/>
    </xf>
    <xf numFmtId="0" fontId="15" fillId="3" borderId="5" xfId="0" applyNumberFormat="1" applyFont="1" applyFill="1" applyBorder="1" applyAlignment="1">
      <alignment vertical="center" wrapText="1"/>
    </xf>
    <xf numFmtId="0" fontId="4" fillId="6" borderId="7" xfId="0" applyNumberFormat="1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/>
    </xf>
    <xf numFmtId="1" fontId="4" fillId="3" borderId="4" xfId="0" applyNumberFormat="1" applyFont="1" applyFill="1" applyBorder="1" applyAlignment="1">
      <alignment horizontal="right" vertical="center" wrapText="1"/>
    </xf>
    <xf numFmtId="1" fontId="4" fillId="3" borderId="5" xfId="0" applyNumberFormat="1" applyFont="1" applyFill="1" applyBorder="1" applyAlignment="1">
      <alignment horizontal="right" vertical="center" wrapText="1"/>
    </xf>
    <xf numFmtId="2" fontId="4" fillId="3" borderId="3" xfId="0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6" borderId="7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1" fontId="4" fillId="5" borderId="8" xfId="0" applyNumberFormat="1" applyFont="1" applyFill="1" applyBorder="1" applyAlignment="1">
      <alignment horizontal="right" vertical="center" wrapText="1"/>
    </xf>
    <xf numFmtId="1" fontId="4" fillId="5" borderId="6" xfId="0" applyNumberFormat="1" applyFont="1" applyFill="1" applyBorder="1" applyAlignment="1">
      <alignment horizontal="right" vertical="center" wrapText="1"/>
    </xf>
    <xf numFmtId="1" fontId="4" fillId="5" borderId="9" xfId="0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left" vertical="center" wrapText="1" indent="1"/>
    </xf>
    <xf numFmtId="0" fontId="4" fillId="2" borderId="6" xfId="0" applyNumberFormat="1" applyFont="1" applyFill="1" applyBorder="1" applyAlignment="1">
      <alignment horizontal="left" vertical="center" wrapText="1" indent="1"/>
    </xf>
    <xf numFmtId="0" fontId="4" fillId="2" borderId="9" xfId="0" applyNumberFormat="1" applyFont="1" applyFill="1" applyBorder="1" applyAlignment="1">
      <alignment horizontal="left" vertical="center" wrapText="1" indent="1"/>
    </xf>
    <xf numFmtId="0" fontId="4" fillId="5" borderId="4" xfId="0" applyNumberFormat="1" applyFont="1" applyFill="1" applyBorder="1" applyAlignment="1">
      <alignment horizontal="left" vertical="center" wrapText="1" indent="1"/>
    </xf>
    <xf numFmtId="0" fontId="4" fillId="5" borderId="7" xfId="0" applyNumberFormat="1" applyFont="1" applyFill="1" applyBorder="1" applyAlignment="1">
      <alignment horizontal="left" vertical="center" wrapText="1" indent="1"/>
    </xf>
    <xf numFmtId="0" fontId="4" fillId="5" borderId="5" xfId="0" applyNumberFormat="1" applyFont="1" applyFill="1" applyBorder="1" applyAlignment="1">
      <alignment horizontal="left" vertical="center" wrapText="1" inden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2" borderId="5" xfId="0" applyNumberFormat="1" applyFont="1" applyFill="1" applyBorder="1" applyAlignment="1">
      <alignment horizontal="center" vertical="center" wrapText="1"/>
    </xf>
    <xf numFmtId="1" fontId="4" fillId="5" borderId="8" xfId="1" applyNumberFormat="1" applyFont="1" applyFill="1" applyBorder="1" applyAlignment="1">
      <alignment vertical="center" wrapText="1"/>
    </xf>
    <xf numFmtId="1" fontId="4" fillId="5" borderId="6" xfId="1" applyNumberFormat="1" applyFont="1" applyFill="1" applyBorder="1" applyAlignment="1">
      <alignment vertical="center" wrapText="1"/>
    </xf>
    <xf numFmtId="1" fontId="4" fillId="5" borderId="9" xfId="1" applyNumberFormat="1" applyFont="1" applyFill="1" applyBorder="1" applyAlignment="1">
      <alignment vertical="center" wrapText="1"/>
    </xf>
    <xf numFmtId="2" fontId="4" fillId="5" borderId="8" xfId="0" applyNumberFormat="1" applyFont="1" applyFill="1" applyBorder="1" applyAlignment="1">
      <alignment horizontal="right" vertical="center" wrapText="1"/>
    </xf>
    <xf numFmtId="2" fontId="4" fillId="5" borderId="6" xfId="0" applyNumberFormat="1" applyFont="1" applyFill="1" applyBorder="1" applyAlignment="1">
      <alignment horizontal="right" vertical="center" wrapText="1"/>
    </xf>
    <xf numFmtId="2" fontId="4" fillId="5" borderId="9" xfId="0" applyNumberFormat="1" applyFont="1" applyFill="1" applyBorder="1" applyAlignment="1">
      <alignment horizontal="right" vertical="center" wrapText="1"/>
    </xf>
    <xf numFmtId="2" fontId="4" fillId="5" borderId="8" xfId="0" applyNumberFormat="1" applyFont="1" applyFill="1" applyBorder="1" applyAlignment="1">
      <alignment vertical="center" wrapText="1"/>
    </xf>
    <xf numFmtId="2" fontId="4" fillId="5" borderId="6" xfId="0" applyNumberFormat="1" applyFont="1" applyFill="1" applyBorder="1" applyAlignment="1">
      <alignment vertical="center" wrapText="1"/>
    </xf>
    <xf numFmtId="2" fontId="4" fillId="5" borderId="9" xfId="0" applyNumberFormat="1" applyFont="1" applyFill="1" applyBorder="1" applyAlignment="1">
      <alignment vertical="center" wrapText="1"/>
    </xf>
    <xf numFmtId="1" fontId="4" fillId="3" borderId="7" xfId="0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right" vertical="center" wrapText="1"/>
    </xf>
    <xf numFmtId="0" fontId="4" fillId="3" borderId="7" xfId="0" applyNumberFormat="1" applyFont="1" applyFill="1" applyBorder="1" applyAlignment="1">
      <alignment horizontal="right" vertical="center" wrapText="1"/>
    </xf>
    <xf numFmtId="0" fontId="4" fillId="3" borderId="5" xfId="0" applyNumberFormat="1" applyFont="1" applyFill="1" applyBorder="1" applyAlignment="1">
      <alignment horizontal="right" vertical="center" wrapText="1"/>
    </xf>
    <xf numFmtId="3" fontId="6" fillId="5" borderId="10" xfId="1" applyNumberFormat="1" applyFont="1" applyFill="1" applyBorder="1" applyAlignment="1">
      <alignment horizontal="right" vertical="center" wrapText="1"/>
    </xf>
    <xf numFmtId="3" fontId="6" fillId="5" borderId="11" xfId="1" applyNumberFormat="1" applyFont="1" applyFill="1" applyBorder="1" applyAlignment="1">
      <alignment horizontal="right" vertical="center" wrapText="1"/>
    </xf>
    <xf numFmtId="3" fontId="6" fillId="5" borderId="12" xfId="1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left" vertical="center" wrapText="1"/>
    </xf>
    <xf numFmtId="0" fontId="4" fillId="2" borderId="6" xfId="0" applyNumberFormat="1" applyFont="1" applyFill="1" applyBorder="1" applyAlignment="1">
      <alignment horizontal="left" vertical="center" wrapText="1"/>
    </xf>
    <xf numFmtId="0" fontId="4" fillId="2" borderId="9" xfId="0" applyNumberFormat="1" applyFont="1" applyFill="1" applyBorder="1" applyAlignment="1">
      <alignment horizontal="left" vertical="center" wrapText="1"/>
    </xf>
    <xf numFmtId="0" fontId="4" fillId="5" borderId="4" xfId="0" applyNumberFormat="1" applyFont="1" applyFill="1" applyBorder="1" applyAlignment="1">
      <alignment horizontal="left" vertical="center" wrapText="1"/>
    </xf>
    <xf numFmtId="0" fontId="4" fillId="5" borderId="7" xfId="0" applyNumberFormat="1" applyFont="1" applyFill="1" applyBorder="1" applyAlignment="1">
      <alignment horizontal="left" vertical="center" wrapText="1"/>
    </xf>
    <xf numFmtId="0" fontId="4" fillId="5" borderId="5" xfId="0" applyNumberFormat="1" applyFont="1" applyFill="1" applyBorder="1" applyAlignment="1">
      <alignment horizontal="left" vertical="center" wrapText="1"/>
    </xf>
    <xf numFmtId="2" fontId="4" fillId="2" borderId="8" xfId="1" applyNumberFormat="1" applyFont="1" applyFill="1" applyBorder="1" applyAlignment="1">
      <alignment horizontal="right" vertical="center" wrapText="1"/>
    </xf>
    <xf numFmtId="2" fontId="4" fillId="2" borderId="6" xfId="1" applyNumberFormat="1" applyFont="1" applyFill="1" applyBorder="1" applyAlignment="1">
      <alignment horizontal="right" vertical="center" wrapText="1"/>
    </xf>
    <xf numFmtId="2" fontId="4" fillId="2" borderId="9" xfId="1" applyNumberFormat="1" applyFont="1" applyFill="1" applyBorder="1" applyAlignment="1">
      <alignment horizontal="right" vertical="center" wrapText="1"/>
    </xf>
    <xf numFmtId="0" fontId="4" fillId="5" borderId="2" xfId="1" applyNumberFormat="1" applyFont="1" applyFill="1" applyBorder="1" applyAlignment="1">
      <alignment horizontal="right" vertical="center" wrapText="1"/>
    </xf>
    <xf numFmtId="0" fontId="4" fillId="5" borderId="8" xfId="1" applyNumberFormat="1" applyFont="1" applyFill="1" applyBorder="1" applyAlignment="1">
      <alignment horizontal="right" vertical="center" wrapText="1"/>
    </xf>
    <xf numFmtId="0" fontId="4" fillId="5" borderId="6" xfId="1" applyNumberFormat="1" applyFont="1" applyFill="1" applyBorder="1" applyAlignment="1">
      <alignment horizontal="right" vertical="center" wrapText="1"/>
    </xf>
    <xf numFmtId="0" fontId="4" fillId="5" borderId="9" xfId="1" applyNumberFormat="1" applyFont="1" applyFill="1" applyBorder="1" applyAlignment="1">
      <alignment horizontal="right" vertical="center" wrapText="1"/>
    </xf>
    <xf numFmtId="3" fontId="4" fillId="5" borderId="8" xfId="1" applyNumberFormat="1" applyFont="1" applyFill="1" applyBorder="1" applyAlignment="1">
      <alignment horizontal="right" vertical="center" wrapText="1"/>
    </xf>
    <xf numFmtId="3" fontId="4" fillId="5" borderId="6" xfId="1" applyNumberFormat="1" applyFont="1" applyFill="1" applyBorder="1" applyAlignment="1">
      <alignment horizontal="right" vertical="center" wrapText="1"/>
    </xf>
    <xf numFmtId="3" fontId="4" fillId="5" borderId="9" xfId="1" applyNumberFormat="1" applyFont="1" applyFill="1" applyBorder="1" applyAlignment="1">
      <alignment horizontal="right" vertical="center" wrapText="1"/>
    </xf>
    <xf numFmtId="177" fontId="4" fillId="2" borderId="8" xfId="1" applyNumberFormat="1" applyFont="1" applyFill="1" applyBorder="1" applyAlignment="1">
      <alignment horizontal="right" vertical="center" wrapText="1"/>
    </xf>
    <xf numFmtId="177" fontId="4" fillId="2" borderId="9" xfId="1" applyNumberFormat="1" applyFont="1" applyFill="1" applyBorder="1" applyAlignment="1">
      <alignment horizontal="right" vertical="center" wrapText="1"/>
    </xf>
    <xf numFmtId="0" fontId="4" fillId="3" borderId="3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9" fontId="6" fillId="3" borderId="10" xfId="0" applyNumberFormat="1" applyFont="1" applyFill="1" applyBorder="1" applyAlignment="1">
      <alignment horizontal="center" vertical="center" wrapText="1"/>
    </xf>
    <xf numFmtId="169" fontId="6" fillId="3" borderId="11" xfId="0" applyNumberFormat="1" applyFont="1" applyFill="1" applyBorder="1" applyAlignment="1">
      <alignment horizontal="center" vertical="center" wrapText="1"/>
    </xf>
    <xf numFmtId="169" fontId="6" fillId="3" borderId="12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2" fontId="4" fillId="2" borderId="8" xfId="2" applyNumberFormat="1" applyFont="1" applyFill="1" applyBorder="1" applyAlignment="1">
      <alignment horizontal="right" vertical="center" wrapText="1"/>
    </xf>
    <xf numFmtId="2" fontId="4" fillId="2" borderId="6" xfId="2" applyNumberFormat="1" applyFont="1" applyFill="1" applyBorder="1" applyAlignment="1">
      <alignment horizontal="right" vertical="center" wrapText="1"/>
    </xf>
    <xf numFmtId="2" fontId="4" fillId="2" borderId="9" xfId="2" applyNumberFormat="1" applyFont="1" applyFill="1" applyBorder="1" applyAlignment="1">
      <alignment horizontal="right" vertical="center" wrapText="1"/>
    </xf>
    <xf numFmtId="0" fontId="6" fillId="3" borderId="10" xfId="0" applyNumberFormat="1" applyFont="1" applyFill="1" applyBorder="1" applyAlignment="1">
      <alignment horizontal="center" vertical="center" wrapText="1"/>
    </xf>
    <xf numFmtId="0" fontId="6" fillId="3" borderId="11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78" fontId="4" fillId="2" borderId="10" xfId="0" applyNumberFormat="1" applyFont="1" applyFill="1" applyBorder="1" applyAlignment="1">
      <alignment horizontal="center" vertical="top" wrapText="1"/>
    </xf>
    <xf numFmtId="178" fontId="4" fillId="2" borderId="11" xfId="0" applyNumberFormat="1" applyFont="1" applyFill="1" applyBorder="1" applyAlignment="1">
      <alignment horizontal="center" vertical="top" wrapText="1"/>
    </xf>
    <xf numFmtId="178" fontId="4" fillId="2" borderId="12" xfId="0" applyNumberFormat="1" applyFont="1" applyFill="1" applyBorder="1" applyAlignment="1">
      <alignment horizontal="center" vertical="top" wrapText="1"/>
    </xf>
    <xf numFmtId="2" fontId="4" fillId="3" borderId="4" xfId="0" applyNumberFormat="1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right" vertical="center" wrapText="1"/>
    </xf>
    <xf numFmtId="1" fontId="4" fillId="5" borderId="8" xfId="1" applyNumberFormat="1" applyFont="1" applyFill="1" applyBorder="1" applyAlignment="1">
      <alignment horizontal="right" vertical="center" wrapText="1"/>
    </xf>
    <xf numFmtId="1" fontId="4" fillId="5" borderId="6" xfId="1" applyNumberFormat="1" applyFont="1" applyFill="1" applyBorder="1" applyAlignment="1">
      <alignment horizontal="right" vertical="center" wrapText="1"/>
    </xf>
    <xf numFmtId="1" fontId="4" fillId="5" borderId="9" xfId="1" applyNumberFormat="1" applyFont="1" applyFill="1" applyBorder="1" applyAlignment="1">
      <alignment horizontal="right" vertical="center" wrapText="1"/>
    </xf>
    <xf numFmtId="1" fontId="4" fillId="3" borderId="4" xfId="1" applyNumberFormat="1" applyFont="1" applyFill="1" applyBorder="1" applyAlignment="1">
      <alignment horizontal="right" vertical="center" wrapText="1"/>
    </xf>
    <xf numFmtId="1" fontId="4" fillId="3" borderId="7" xfId="1" applyNumberFormat="1" applyFont="1" applyFill="1" applyBorder="1" applyAlignment="1">
      <alignment horizontal="right" vertical="center" wrapText="1"/>
    </xf>
    <xf numFmtId="1" fontId="4" fillId="3" borderId="5" xfId="1" applyNumberFormat="1" applyFont="1" applyFill="1" applyBorder="1" applyAlignment="1">
      <alignment horizontal="right" vertical="center" wrapText="1"/>
    </xf>
    <xf numFmtId="3" fontId="4" fillId="2" borderId="4" xfId="1" applyNumberFormat="1" applyFont="1" applyFill="1" applyBorder="1" applyAlignment="1">
      <alignment horizontal="right" vertical="center" wrapText="1"/>
    </xf>
    <xf numFmtId="3" fontId="4" fillId="2" borderId="7" xfId="1" applyNumberFormat="1" applyFont="1" applyFill="1" applyBorder="1" applyAlignment="1">
      <alignment horizontal="right" vertical="center" wrapText="1"/>
    </xf>
    <xf numFmtId="3" fontId="4" fillId="2" borderId="5" xfId="1" applyNumberFormat="1" applyFont="1" applyFill="1" applyBorder="1" applyAlignment="1">
      <alignment horizontal="right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13" fillId="2" borderId="3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11" xfId="0" applyNumberFormat="1" applyFont="1" applyFill="1" applyBorder="1" applyAlignment="1">
      <alignment horizontal="center" vertical="center" wrapText="1"/>
    </xf>
    <xf numFmtId="0" fontId="4" fillId="2" borderId="12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left" vertical="top" wrapText="1"/>
    </xf>
    <xf numFmtId="0" fontId="4" fillId="5" borderId="10" xfId="0" applyNumberFormat="1" applyFont="1" applyFill="1" applyBorder="1" applyAlignment="1">
      <alignment horizontal="left" vertical="center" wrapText="1"/>
    </xf>
    <xf numFmtId="0" fontId="4" fillId="5" borderId="11" xfId="0" applyNumberFormat="1" applyFont="1" applyFill="1" applyBorder="1" applyAlignment="1">
      <alignment horizontal="left" vertical="center" wrapText="1"/>
    </xf>
    <xf numFmtId="0" fontId="4" fillId="5" borderId="12" xfId="0" applyNumberFormat="1" applyFont="1" applyFill="1" applyBorder="1" applyAlignment="1">
      <alignment horizontal="left" vertical="center" wrapText="1"/>
    </xf>
    <xf numFmtId="0" fontId="13" fillId="3" borderId="3" xfId="0" applyNumberFormat="1" applyFont="1" applyFill="1" applyBorder="1" applyAlignment="1">
      <alignment horizontal="center" vertical="center" wrapText="1"/>
    </xf>
    <xf numFmtId="1" fontId="4" fillId="3" borderId="3" xfId="1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left" vertical="top" wrapText="1"/>
    </xf>
    <xf numFmtId="3" fontId="4" fillId="2" borderId="8" xfId="0" applyNumberFormat="1" applyFont="1" applyFill="1" applyBorder="1" applyAlignment="1">
      <alignment vertical="center" wrapText="1"/>
    </xf>
    <xf numFmtId="3" fontId="4" fillId="2" borderId="6" xfId="0" applyNumberFormat="1" applyFont="1" applyFill="1" applyBorder="1" applyAlignment="1">
      <alignment vertical="center" wrapText="1"/>
    </xf>
    <xf numFmtId="3" fontId="4" fillId="2" borderId="9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horizontal="center" vertical="top" wrapText="1"/>
    </xf>
    <xf numFmtId="0" fontId="4" fillId="2" borderId="10" xfId="0" applyNumberFormat="1" applyFont="1" applyFill="1" applyBorder="1" applyAlignment="1">
      <alignment horizontal="center" vertical="top" wrapText="1"/>
    </xf>
    <xf numFmtId="0" fontId="4" fillId="2" borderId="11" xfId="0" applyNumberFormat="1" applyFont="1" applyFill="1" applyBorder="1" applyAlignment="1">
      <alignment horizontal="center" vertical="top" wrapText="1"/>
    </xf>
    <xf numFmtId="0" fontId="4" fillId="2" borderId="12" xfId="0" applyNumberFormat="1" applyFont="1" applyFill="1" applyBorder="1" applyAlignment="1">
      <alignment horizontal="center" vertical="top" wrapText="1"/>
    </xf>
    <xf numFmtId="0" fontId="4" fillId="3" borderId="8" xfId="0" applyNumberFormat="1" applyFont="1" applyFill="1" applyBorder="1" applyAlignment="1">
      <alignment horizontal="left" vertical="top" wrapText="1"/>
    </xf>
    <xf numFmtId="0" fontId="4" fillId="2" borderId="2" xfId="0" applyNumberFormat="1" applyFont="1" applyFill="1" applyBorder="1" applyAlignment="1">
      <alignment horizontal="center" vertical="top" wrapText="1"/>
    </xf>
    <xf numFmtId="0" fontId="4" fillId="3" borderId="3" xfId="0" applyNumberFormat="1" applyFont="1" applyFill="1" applyBorder="1" applyAlignment="1">
      <alignment horizontal="center" vertical="top" wrapText="1"/>
    </xf>
    <xf numFmtId="0" fontId="4" fillId="3" borderId="1" xfId="0" applyNumberFormat="1" applyFont="1" applyFill="1" applyBorder="1" applyAlignment="1">
      <alignment horizontal="center" vertical="top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6" borderId="6" xfId="0" applyNumberFormat="1" applyFont="1" applyFill="1" applyBorder="1" applyAlignment="1">
      <alignment horizontal="righ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4" fillId="0" borderId="16" xfId="0" applyNumberFormat="1" applyFont="1" applyFill="1" applyBorder="1" applyAlignment="1">
      <alignment horizontal="center" vertical="center" wrapText="1"/>
    </xf>
    <xf numFmtId="0" fontId="4" fillId="0" borderId="17" xfId="0" applyNumberFormat="1" applyFont="1" applyFill="1" applyBorder="1" applyAlignment="1">
      <alignment horizontal="center" vertical="center" wrapText="1"/>
    </xf>
    <xf numFmtId="3" fontId="6" fillId="5" borderId="10" xfId="0" applyNumberFormat="1" applyFont="1" applyFill="1" applyBorder="1" applyAlignment="1">
      <alignment horizontal="right" vertical="center" wrapText="1"/>
    </xf>
    <xf numFmtId="3" fontId="6" fillId="5" borderId="11" xfId="0" applyNumberFormat="1" applyFont="1" applyFill="1" applyBorder="1" applyAlignment="1">
      <alignment horizontal="right" vertical="center" wrapText="1"/>
    </xf>
    <xf numFmtId="3" fontId="6" fillId="5" borderId="12" xfId="0" applyNumberFormat="1" applyFont="1" applyFill="1" applyBorder="1" applyAlignment="1">
      <alignment horizontal="right" vertical="center" wrapText="1"/>
    </xf>
    <xf numFmtId="0" fontId="6" fillId="5" borderId="10" xfId="0" applyNumberFormat="1" applyFont="1" applyFill="1" applyBorder="1" applyAlignment="1">
      <alignment horizontal="left" vertical="center" wrapText="1"/>
    </xf>
    <xf numFmtId="0" fontId="6" fillId="5" borderId="11" xfId="0" applyNumberFormat="1" applyFont="1" applyFill="1" applyBorder="1" applyAlignment="1">
      <alignment horizontal="left" vertical="center" wrapText="1"/>
    </xf>
    <xf numFmtId="0" fontId="6" fillId="5" borderId="12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top" wrapText="1"/>
    </xf>
    <xf numFmtId="2" fontId="4" fillId="2" borderId="10" xfId="0" applyNumberFormat="1" applyFont="1" applyFill="1" applyBorder="1" applyAlignment="1">
      <alignment horizontal="center" vertical="top" wrapText="1"/>
    </xf>
    <xf numFmtId="0" fontId="4" fillId="2" borderId="13" xfId="0" applyNumberFormat="1" applyFont="1" applyFill="1" applyBorder="1" applyAlignment="1">
      <alignment horizontal="left" vertical="top" wrapText="1"/>
    </xf>
    <xf numFmtId="3" fontId="6" fillId="2" borderId="8" xfId="0" applyNumberFormat="1" applyFont="1" applyFill="1" applyBorder="1" applyAlignment="1">
      <alignment vertical="center" wrapText="1"/>
    </xf>
    <xf numFmtId="3" fontId="6" fillId="2" borderId="6" xfId="0" applyNumberFormat="1" applyFont="1" applyFill="1" applyBorder="1" applyAlignment="1">
      <alignment vertical="center" wrapText="1"/>
    </xf>
    <xf numFmtId="3" fontId="6" fillId="2" borderId="9" xfId="0" applyNumberFormat="1" applyFont="1" applyFill="1" applyBorder="1" applyAlignment="1">
      <alignment vertical="center" wrapText="1"/>
    </xf>
    <xf numFmtId="172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NumberFormat="1" applyFont="1" applyFill="1" applyBorder="1" applyAlignment="1">
      <alignment horizontal="right" vertical="center" wrapText="1"/>
    </xf>
    <xf numFmtId="166" fontId="4" fillId="2" borderId="1" xfId="0" applyNumberFormat="1" applyFont="1" applyFill="1" applyBorder="1" applyAlignment="1">
      <alignment horizontal="right" vertical="top" wrapText="1"/>
    </xf>
    <xf numFmtId="0" fontId="4" fillId="2" borderId="1" xfId="0" applyNumberFormat="1" applyFont="1" applyFill="1" applyBorder="1" applyAlignment="1">
      <alignment horizontal="right" vertical="top" wrapText="1"/>
    </xf>
    <xf numFmtId="178" fontId="4" fillId="2" borderId="1" xfId="0" applyNumberFormat="1" applyFont="1" applyFill="1" applyBorder="1" applyAlignment="1">
      <alignment horizontal="right" vertical="top" wrapText="1"/>
    </xf>
    <xf numFmtId="1" fontId="4" fillId="3" borderId="3" xfId="0" applyNumberFormat="1" applyFont="1" applyFill="1" applyBorder="1" applyAlignment="1">
      <alignment horizontal="right" vertical="center" wrapText="1"/>
    </xf>
    <xf numFmtId="0" fontId="3" fillId="4" borderId="1" xfId="0" applyNumberFormat="1" applyFont="1" applyFill="1" applyBorder="1" applyAlignment="1">
      <alignment horizontal="left" vertical="top" wrapText="1"/>
    </xf>
    <xf numFmtId="0" fontId="4" fillId="3" borderId="1" xfId="0" applyNumberFormat="1" applyFont="1" applyFill="1" applyBorder="1" applyAlignment="1">
      <alignment horizontal="left" vertical="top" wrapText="1"/>
    </xf>
    <xf numFmtId="0" fontId="6" fillId="3" borderId="1" xfId="0" applyNumberFormat="1" applyFont="1" applyFill="1" applyBorder="1" applyAlignment="1">
      <alignment horizontal="left" vertical="top" wrapText="1"/>
    </xf>
    <xf numFmtId="0" fontId="6" fillId="3" borderId="14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4" fillId="2" borderId="0" xfId="0" applyNumberFormat="1" applyFont="1" applyFill="1" applyBorder="1" applyAlignment="1">
      <alignment horizontal="center" vertical="top" wrapText="1"/>
    </xf>
    <xf numFmtId="0" fontId="3" fillId="2" borderId="0" xfId="0" applyNumberFormat="1" applyFont="1" applyFill="1" applyBorder="1" applyAlignment="1">
      <alignment horizontal="left" vertical="top" wrapText="1"/>
    </xf>
    <xf numFmtId="0" fontId="4" fillId="2" borderId="0" xfId="0" applyNumberFormat="1" applyFont="1" applyFill="1" applyBorder="1" applyAlignment="1">
      <alignment horizontal="right" vertical="top" wrapText="1"/>
    </xf>
    <xf numFmtId="0" fontId="5" fillId="2" borderId="7" xfId="0" applyNumberFormat="1" applyFont="1" applyFill="1" applyBorder="1" applyAlignment="1">
      <alignment horizontal="left" vertical="top" wrapText="1"/>
    </xf>
    <xf numFmtId="0" fontId="6" fillId="2" borderId="7" xfId="0" applyNumberFormat="1" applyFont="1" applyFill="1" applyBorder="1" applyAlignment="1">
      <alignment horizontal="left" vertical="top" wrapText="1"/>
    </xf>
    <xf numFmtId="0" fontId="4" fillId="3" borderId="0" xfId="0" applyNumberFormat="1" applyFont="1" applyFill="1" applyBorder="1" applyAlignment="1">
      <alignment horizontal="left" vertical="top" wrapText="1"/>
    </xf>
    <xf numFmtId="0" fontId="4" fillId="3" borderId="0" xfId="0" applyNumberFormat="1" applyFont="1" applyFill="1" applyBorder="1" applyAlignment="1">
      <alignment horizontal="right" vertical="top" wrapText="1"/>
    </xf>
    <xf numFmtId="174" fontId="4" fillId="2" borderId="0" xfId="0" applyNumberFormat="1" applyFont="1" applyFill="1" applyBorder="1" applyAlignment="1">
      <alignment horizontal="right" vertical="top" wrapText="1"/>
    </xf>
    <xf numFmtId="164" fontId="4" fillId="2" borderId="0" xfId="0" applyNumberFormat="1" applyFont="1" applyFill="1" applyBorder="1" applyAlignment="1">
      <alignment horizontal="right" vertical="top" wrapText="1"/>
    </xf>
    <xf numFmtId="165" fontId="4" fillId="2" borderId="0" xfId="0" applyNumberFormat="1" applyFont="1" applyFill="1" applyBorder="1" applyAlignment="1">
      <alignment horizontal="right" vertical="top" wrapText="1"/>
    </xf>
    <xf numFmtId="166" fontId="4" fillId="2" borderId="0" xfId="0" applyNumberFormat="1" applyFont="1" applyFill="1" applyBorder="1" applyAlignment="1">
      <alignment horizontal="right" vertical="top" wrapText="1"/>
    </xf>
    <xf numFmtId="164" fontId="4" fillId="2" borderId="0" xfId="0" applyNumberFormat="1" applyFont="1" applyFill="1" applyBorder="1" applyAlignment="1">
      <alignment horizontal="left" vertical="top" wrapText="1"/>
    </xf>
    <xf numFmtId="164" fontId="4" fillId="3" borderId="0" xfId="0" applyNumberFormat="1" applyFont="1" applyFill="1" applyBorder="1" applyAlignment="1">
      <alignment horizontal="left" vertical="top" wrapText="1"/>
    </xf>
    <xf numFmtId="167" fontId="4" fillId="2" borderId="0" xfId="0" applyNumberFormat="1" applyFont="1" applyFill="1" applyBorder="1" applyAlignment="1">
      <alignment horizontal="left" vertical="top" wrapText="1"/>
    </xf>
    <xf numFmtId="168" fontId="4" fillId="2" borderId="0" xfId="0" applyNumberFormat="1" applyFont="1" applyFill="1" applyBorder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left" vertical="top" wrapText="1"/>
    </xf>
    <xf numFmtId="0" fontId="6" fillId="2" borderId="0" xfId="0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 wrapText="1"/>
    </xf>
    <xf numFmtId="0" fontId="4" fillId="2" borderId="11" xfId="0" applyNumberFormat="1" applyFont="1" applyFill="1" applyBorder="1" applyAlignment="1">
      <alignment horizontal="left" vertical="top" wrapText="1"/>
    </xf>
    <xf numFmtId="0" fontId="6" fillId="3" borderId="4" xfId="0" applyNumberFormat="1" applyFont="1" applyFill="1" applyBorder="1" applyAlignment="1">
      <alignment horizontal="right" vertical="center" wrapText="1"/>
    </xf>
    <xf numFmtId="0" fontId="6" fillId="3" borderId="7" xfId="0" applyNumberFormat="1" applyFont="1" applyFill="1" applyBorder="1" applyAlignment="1">
      <alignment horizontal="right" vertical="center" wrapText="1"/>
    </xf>
    <xf numFmtId="0" fontId="6" fillId="3" borderId="5" xfId="0" applyNumberFormat="1" applyFont="1" applyFill="1" applyBorder="1" applyAlignment="1">
      <alignment horizontal="right" vertical="center" wrapText="1"/>
    </xf>
    <xf numFmtId="0" fontId="9" fillId="5" borderId="2" xfId="0" applyNumberFormat="1" applyFont="1" applyFill="1" applyBorder="1" applyAlignment="1">
      <alignment horizontal="right" vertical="center" wrapText="1"/>
    </xf>
    <xf numFmtId="0" fontId="9" fillId="3" borderId="3" xfId="0" applyNumberFormat="1" applyFont="1" applyFill="1" applyBorder="1" applyAlignment="1">
      <alignment horizontal="right" vertical="center" wrapText="1"/>
    </xf>
    <xf numFmtId="0" fontId="9" fillId="3" borderId="4" xfId="0" applyNumberFormat="1" applyFont="1" applyFill="1" applyBorder="1" applyAlignment="1">
      <alignment horizontal="right" vertical="center" wrapText="1"/>
    </xf>
    <xf numFmtId="0" fontId="9" fillId="3" borderId="7" xfId="0" applyNumberFormat="1" applyFont="1" applyFill="1" applyBorder="1" applyAlignment="1">
      <alignment horizontal="right" vertical="center" wrapText="1"/>
    </xf>
    <xf numFmtId="0" fontId="9" fillId="3" borderId="5" xfId="0" applyNumberFormat="1" applyFont="1" applyFill="1" applyBorder="1" applyAlignment="1">
      <alignment horizontal="right" vertical="center" wrapText="1"/>
    </xf>
    <xf numFmtId="3" fontId="9" fillId="5" borderId="8" xfId="0" applyNumberFormat="1" applyFont="1" applyFill="1" applyBorder="1" applyAlignment="1">
      <alignment horizontal="right" vertical="center" wrapText="1"/>
    </xf>
    <xf numFmtId="0" fontId="9" fillId="5" borderId="6" xfId="0" applyNumberFormat="1" applyFont="1" applyFill="1" applyBorder="1" applyAlignment="1">
      <alignment horizontal="right" vertical="center" wrapText="1"/>
    </xf>
    <xf numFmtId="0" fontId="9" fillId="5" borderId="9" xfId="0" applyNumberFormat="1" applyFont="1" applyFill="1" applyBorder="1" applyAlignment="1">
      <alignment horizontal="right" vertical="center" wrapText="1"/>
    </xf>
    <xf numFmtId="3" fontId="9" fillId="5" borderId="8" xfId="2" applyNumberFormat="1" applyFont="1" applyFill="1" applyBorder="1" applyAlignment="1">
      <alignment horizontal="right" vertical="center" wrapText="1"/>
    </xf>
    <xf numFmtId="3" fontId="9" fillId="5" borderId="6" xfId="2" applyNumberFormat="1" applyFont="1" applyFill="1" applyBorder="1" applyAlignment="1">
      <alignment horizontal="right" vertical="center" wrapText="1"/>
    </xf>
    <xf numFmtId="3" fontId="9" fillId="5" borderId="9" xfId="2" applyNumberFormat="1" applyFont="1" applyFill="1" applyBorder="1" applyAlignment="1">
      <alignment horizontal="right" vertical="center" wrapText="1"/>
    </xf>
    <xf numFmtId="0" fontId="9" fillId="2" borderId="1" xfId="0" applyNumberFormat="1" applyFont="1" applyFill="1" applyBorder="1" applyAlignment="1">
      <alignment horizontal="left" vertical="center" wrapText="1"/>
    </xf>
    <xf numFmtId="1" fontId="9" fillId="2" borderId="1" xfId="1" applyNumberFormat="1" applyFont="1" applyFill="1" applyBorder="1" applyAlignment="1">
      <alignment horizontal="center" vertical="center" wrapText="1"/>
    </xf>
    <xf numFmtId="16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5" borderId="8" xfId="0" applyNumberFormat="1" applyFont="1" applyFill="1" applyBorder="1" applyAlignment="1">
      <alignment horizontal="right" vertical="center" wrapText="1"/>
    </xf>
    <xf numFmtId="0" fontId="4" fillId="2" borderId="6" xfId="0" applyNumberFormat="1" applyFont="1" applyFill="1" applyBorder="1" applyAlignment="1">
      <alignment horizontal="left" vertical="top" wrapText="1"/>
    </xf>
    <xf numFmtId="171" fontId="6" fillId="2" borderId="6" xfId="0" applyNumberFormat="1" applyFont="1" applyFill="1" applyBorder="1" applyAlignment="1">
      <alignment horizontal="right" vertical="top" wrapText="1"/>
    </xf>
    <xf numFmtId="0" fontId="6" fillId="2" borderId="6" xfId="0" applyNumberFormat="1" applyFont="1" applyFill="1" applyBorder="1" applyAlignment="1">
      <alignment horizontal="right" vertical="top" wrapText="1"/>
    </xf>
    <xf numFmtId="164" fontId="4" fillId="2" borderId="8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164" fontId="4" fillId="2" borderId="9" xfId="0" applyNumberFormat="1" applyFont="1" applyFill="1" applyBorder="1" applyAlignment="1">
      <alignment horizontal="right" vertical="top" wrapText="1"/>
    </xf>
    <xf numFmtId="164" fontId="4" fillId="2" borderId="4" xfId="0" applyNumberFormat="1" applyFont="1" applyFill="1" applyBorder="1" applyAlignment="1">
      <alignment horizontal="right" vertical="top" wrapText="1"/>
    </xf>
    <xf numFmtId="164" fontId="4" fillId="2" borderId="7" xfId="0" applyNumberFormat="1" applyFont="1" applyFill="1" applyBorder="1" applyAlignment="1">
      <alignment horizontal="right" vertical="top" wrapText="1"/>
    </xf>
    <xf numFmtId="164" fontId="4" fillId="2" borderId="5" xfId="0" applyNumberFormat="1" applyFont="1" applyFill="1" applyBorder="1" applyAlignment="1">
      <alignment horizontal="right" vertical="top" wrapText="1"/>
    </xf>
    <xf numFmtId="173" fontId="6" fillId="3" borderId="8" xfId="0" applyNumberFormat="1" applyFont="1" applyFill="1" applyBorder="1" applyAlignment="1">
      <alignment horizontal="right" vertical="center" wrapText="1"/>
    </xf>
    <xf numFmtId="173" fontId="6" fillId="3" borderId="6" xfId="0" applyNumberFormat="1" applyFont="1" applyFill="1" applyBorder="1" applyAlignment="1">
      <alignment horizontal="right" vertical="center" wrapText="1"/>
    </xf>
    <xf numFmtId="173" fontId="6" fillId="3" borderId="9" xfId="0" applyNumberFormat="1" applyFont="1" applyFill="1" applyBorder="1" applyAlignment="1">
      <alignment horizontal="right" vertical="center" wrapText="1"/>
    </xf>
    <xf numFmtId="173" fontId="6" fillId="3" borderId="4" xfId="0" applyNumberFormat="1" applyFont="1" applyFill="1" applyBorder="1" applyAlignment="1">
      <alignment horizontal="right" vertical="center" wrapText="1"/>
    </xf>
    <xf numFmtId="173" fontId="6" fillId="3" borderId="7" xfId="0" applyNumberFormat="1" applyFont="1" applyFill="1" applyBorder="1" applyAlignment="1">
      <alignment horizontal="right" vertical="center" wrapText="1"/>
    </xf>
    <xf numFmtId="173" fontId="6" fillId="3" borderId="5" xfId="0" applyNumberFormat="1" applyFont="1" applyFill="1" applyBorder="1" applyAlignment="1">
      <alignment horizontal="right" vertical="center" wrapText="1"/>
    </xf>
    <xf numFmtId="174" fontId="4" fillId="2" borderId="1" xfId="0" applyNumberFormat="1" applyFont="1" applyFill="1" applyBorder="1" applyAlignment="1">
      <alignment horizontal="right" vertical="top" wrapText="1"/>
    </xf>
    <xf numFmtId="1" fontId="6" fillId="5" borderId="8" xfId="0" applyNumberFormat="1" applyFont="1" applyFill="1" applyBorder="1" applyAlignment="1">
      <alignment horizontal="right" vertical="center" wrapText="1"/>
    </xf>
    <xf numFmtId="1" fontId="6" fillId="5" borderId="9" xfId="0" applyNumberFormat="1" applyFont="1" applyFill="1" applyBorder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3" fontId="6" fillId="2" borderId="9" xfId="0" applyNumberFormat="1" applyFont="1" applyFill="1" applyBorder="1" applyAlignment="1">
      <alignment horizontal="right" vertical="center" wrapText="1"/>
    </xf>
    <xf numFmtId="3" fontId="6" fillId="2" borderId="4" xfId="0" applyNumberFormat="1" applyFont="1" applyFill="1" applyBorder="1" applyAlignment="1">
      <alignment horizontal="right" vertical="center" wrapText="1"/>
    </xf>
    <xf numFmtId="3" fontId="6" fillId="2" borderId="7" xfId="0" applyNumberFormat="1" applyFont="1" applyFill="1" applyBorder="1" applyAlignment="1">
      <alignment horizontal="right" vertical="center" wrapText="1"/>
    </xf>
    <xf numFmtId="3" fontId="6" fillId="2" borderId="5" xfId="0" applyNumberFormat="1" applyFont="1" applyFill="1" applyBorder="1" applyAlignment="1">
      <alignment horizontal="right" vertical="center" wrapText="1"/>
    </xf>
    <xf numFmtId="0" fontId="13" fillId="2" borderId="8" xfId="0" applyNumberFormat="1" applyFont="1" applyFill="1" applyBorder="1" applyAlignment="1">
      <alignment horizontal="center" vertical="center" wrapText="1"/>
    </xf>
    <xf numFmtId="0" fontId="13" fillId="2" borderId="9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right" vertical="center" wrapText="1"/>
    </xf>
    <xf numFmtId="0" fontId="4" fillId="2" borderId="6" xfId="0" applyNumberFormat="1" applyFont="1" applyFill="1" applyBorder="1" applyAlignment="1">
      <alignment horizontal="right" vertical="center" wrapText="1"/>
    </xf>
    <xf numFmtId="0" fontId="4" fillId="2" borderId="9" xfId="0" applyNumberFormat="1" applyFont="1" applyFill="1" applyBorder="1" applyAlignment="1">
      <alignment horizontal="right" vertical="center" wrapText="1"/>
    </xf>
    <xf numFmtId="174" fontId="4" fillId="2" borderId="0" xfId="0" applyNumberFormat="1" applyFont="1" applyFill="1" applyBorder="1" applyAlignment="1">
      <alignment horizontal="left" vertical="top" wrapText="1"/>
    </xf>
    <xf numFmtId="170" fontId="4" fillId="2" borderId="1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0" fontId="15" fillId="3" borderId="4" xfId="0" applyNumberFormat="1" applyFont="1" applyFill="1" applyBorder="1" applyAlignment="1">
      <alignment horizontal="center" vertical="center" wrapText="1"/>
    </xf>
    <xf numFmtId="0" fontId="15" fillId="3" borderId="7" xfId="0" applyNumberFormat="1" applyFont="1" applyFill="1" applyBorder="1" applyAlignment="1">
      <alignment horizontal="center" vertical="center" wrapText="1"/>
    </xf>
    <xf numFmtId="0" fontId="15" fillId="3" borderId="5" xfId="0" applyNumberFormat="1" applyFont="1" applyFill="1" applyBorder="1" applyAlignment="1">
      <alignment horizontal="center" vertical="center" wrapText="1"/>
    </xf>
    <xf numFmtId="1" fontId="4" fillId="5" borderId="8" xfId="0" applyNumberFormat="1" applyFont="1" applyFill="1" applyBorder="1" applyAlignment="1">
      <alignment vertical="center" wrapText="1"/>
    </xf>
    <xf numFmtId="1" fontId="4" fillId="5" borderId="9" xfId="0" applyNumberFormat="1" applyFont="1" applyFill="1" applyBorder="1" applyAlignment="1">
      <alignment vertical="center" wrapText="1"/>
    </xf>
    <xf numFmtId="0" fontId="6" fillId="3" borderId="3" xfId="0" applyNumberFormat="1" applyFont="1" applyFill="1" applyBorder="1" applyAlignment="1">
      <alignment horizontal="right" vertical="center" wrapText="1"/>
    </xf>
    <xf numFmtId="1" fontId="4" fillId="5" borderId="6" xfId="0" applyNumberFormat="1" applyFont="1" applyFill="1" applyBorder="1" applyAlignment="1">
      <alignment vertical="center" wrapText="1"/>
    </xf>
    <xf numFmtId="0" fontId="11" fillId="5" borderId="4" xfId="0" applyNumberFormat="1" applyFont="1" applyFill="1" applyBorder="1" applyAlignment="1">
      <alignment horizontal="center" vertical="center" wrapText="1"/>
    </xf>
    <xf numFmtId="0" fontId="11" fillId="5" borderId="7" xfId="0" applyNumberFormat="1" applyFont="1" applyFill="1" applyBorder="1" applyAlignment="1">
      <alignment horizontal="center" vertical="center" wrapText="1"/>
    </xf>
    <xf numFmtId="0" fontId="11" fillId="5" borderId="5" xfId="0" applyNumberFormat="1" applyFont="1" applyFill="1" applyBorder="1" applyAlignment="1">
      <alignment horizontal="center" vertical="center" wrapText="1"/>
    </xf>
    <xf numFmtId="3" fontId="6" fillId="6" borderId="6" xfId="0" applyNumberFormat="1" applyFont="1" applyFill="1" applyBorder="1" applyAlignment="1">
      <alignment horizontal="center" vertical="center" wrapText="1"/>
    </xf>
    <xf numFmtId="3" fontId="6" fillId="6" borderId="9" xfId="0" applyNumberFormat="1" applyFont="1" applyFill="1" applyBorder="1" applyAlignment="1">
      <alignment horizontal="center" vertical="center" wrapText="1"/>
    </xf>
    <xf numFmtId="3" fontId="6" fillId="6" borderId="8" xfId="0" applyNumberFormat="1" applyFont="1" applyFill="1" applyBorder="1" applyAlignment="1">
      <alignment horizontal="center" vertical="center" wrapText="1"/>
    </xf>
    <xf numFmtId="3" fontId="4" fillId="6" borderId="8" xfId="0" applyNumberFormat="1" applyFont="1" applyFill="1" applyBorder="1" applyAlignment="1">
      <alignment horizontal="center"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3" fontId="4" fillId="6" borderId="9" xfId="0" applyNumberFormat="1" applyFont="1" applyFill="1" applyBorder="1" applyAlignment="1">
      <alignment horizontal="center" vertical="center" wrapText="1"/>
    </xf>
    <xf numFmtId="1" fontId="6" fillId="5" borderId="8" xfId="0" applyNumberFormat="1" applyFont="1" applyFill="1" applyBorder="1" applyAlignment="1">
      <alignment vertical="center" wrapText="1"/>
    </xf>
    <xf numFmtId="1" fontId="6" fillId="5" borderId="6" xfId="0" applyNumberFormat="1" applyFont="1" applyFill="1" applyBorder="1" applyAlignment="1">
      <alignment vertical="center" wrapText="1"/>
    </xf>
    <xf numFmtId="1" fontId="6" fillId="5" borderId="9" xfId="0" applyNumberFormat="1" applyFont="1" applyFill="1" applyBorder="1" applyAlignment="1">
      <alignment vertical="center" wrapText="1"/>
    </xf>
    <xf numFmtId="0" fontId="6" fillId="2" borderId="18" xfId="0" applyNumberFormat="1" applyFont="1" applyFill="1" applyBorder="1" applyAlignment="1">
      <alignment horizontal="left" vertical="top" wrapText="1"/>
    </xf>
    <xf numFmtId="0" fontId="6" fillId="2" borderId="19" xfId="0" applyNumberFormat="1" applyFont="1" applyFill="1" applyBorder="1" applyAlignment="1">
      <alignment horizontal="left" vertical="top" wrapText="1"/>
    </xf>
    <xf numFmtId="0" fontId="6" fillId="6" borderId="7" xfId="0" applyNumberFormat="1" applyFont="1" applyFill="1" applyBorder="1" applyAlignment="1">
      <alignment horizontal="center" vertical="center" wrapText="1"/>
    </xf>
    <xf numFmtId="0" fontId="3" fillId="4" borderId="10" xfId="0" applyNumberFormat="1" applyFont="1" applyFill="1" applyBorder="1" applyAlignment="1">
      <alignment horizontal="left" vertical="top" wrapText="1"/>
    </xf>
    <xf numFmtId="0" fontId="3" fillId="4" borderId="11" xfId="0" applyNumberFormat="1" applyFont="1" applyFill="1" applyBorder="1" applyAlignment="1">
      <alignment horizontal="left" vertical="top" wrapText="1"/>
    </xf>
    <xf numFmtId="0" fontId="3" fillId="4" borderId="12" xfId="0" applyNumberFormat="1" applyFont="1" applyFill="1" applyBorder="1" applyAlignment="1">
      <alignment horizontal="left" vertical="top" wrapText="1"/>
    </xf>
    <xf numFmtId="3" fontId="9" fillId="5" borderId="8" xfId="3" applyNumberFormat="1" applyFont="1" applyFill="1" applyBorder="1" applyAlignment="1">
      <alignment horizontal="right" vertical="center" wrapText="1"/>
    </xf>
    <xf numFmtId="3" fontId="9" fillId="5" borderId="6" xfId="3" applyNumberFormat="1" applyFont="1" applyFill="1" applyBorder="1" applyAlignment="1">
      <alignment horizontal="right"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3" fontId="9" fillId="5" borderId="2" xfId="2" applyNumberFormat="1" applyFont="1" applyFill="1" applyBorder="1" applyAlignment="1">
      <alignment horizontal="right" vertical="center" wrapText="1"/>
    </xf>
    <xf numFmtId="179" fontId="4" fillId="5" borderId="8" xfId="1" applyNumberFormat="1" applyFont="1" applyFill="1" applyBorder="1" applyAlignment="1">
      <alignment horizontal="right" vertical="center" wrapText="1"/>
    </xf>
    <xf numFmtId="179" fontId="4" fillId="5" borderId="6" xfId="1" applyNumberFormat="1" applyFont="1" applyFill="1" applyBorder="1" applyAlignment="1">
      <alignment horizontal="right" vertical="center" wrapText="1"/>
    </xf>
    <xf numFmtId="179" fontId="4" fillId="5" borderId="9" xfId="1" applyNumberFormat="1" applyFont="1" applyFill="1" applyBorder="1" applyAlignment="1">
      <alignment horizontal="right" vertical="center" wrapText="1"/>
    </xf>
    <xf numFmtId="3" fontId="9" fillId="5" borderId="2" xfId="1" applyNumberFormat="1" applyFont="1" applyFill="1" applyBorder="1" applyAlignment="1">
      <alignment horizontal="right" vertical="center" wrapText="1"/>
    </xf>
    <xf numFmtId="0" fontId="9" fillId="2" borderId="8" xfId="0" applyNumberFormat="1" applyFont="1" applyFill="1" applyBorder="1" applyAlignment="1">
      <alignment horizontal="center" vertical="center" wrapText="1"/>
    </xf>
    <xf numFmtId="0" fontId="9" fillId="2" borderId="6" xfId="0" applyNumberFormat="1" applyFont="1" applyFill="1" applyBorder="1" applyAlignment="1">
      <alignment horizontal="center" vertical="center" wrapText="1"/>
    </xf>
    <xf numFmtId="0" fontId="9" fillId="2" borderId="9" xfId="0" applyNumberFormat="1" applyFont="1" applyFill="1" applyBorder="1" applyAlignment="1">
      <alignment horizontal="center" vertical="center" wrapText="1"/>
    </xf>
    <xf numFmtId="0" fontId="9" fillId="2" borderId="4" xfId="0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176" fontId="4" fillId="2" borderId="8" xfId="1" applyNumberFormat="1" applyFont="1" applyFill="1" applyBorder="1" applyAlignment="1">
      <alignment horizontal="right" vertical="center" wrapText="1"/>
    </xf>
    <xf numFmtId="176" fontId="4" fillId="2" borderId="9" xfId="1" applyNumberFormat="1" applyFont="1" applyFill="1" applyBorder="1" applyAlignment="1">
      <alignment horizontal="right" vertical="center" wrapText="1"/>
    </xf>
    <xf numFmtId="175" fontId="9" fillId="2" borderId="1" xfId="0" applyNumberFormat="1" applyFont="1" applyFill="1" applyBorder="1" applyAlignment="1">
      <alignment horizontal="center" vertical="center" wrapText="1"/>
    </xf>
    <xf numFmtId="0" fontId="6" fillId="7" borderId="10" xfId="0" applyNumberFormat="1" applyFont="1" applyFill="1" applyBorder="1" applyAlignment="1">
      <alignment horizontal="left" vertical="center" wrapText="1"/>
    </xf>
    <xf numFmtId="0" fontId="6" fillId="7" borderId="11" xfId="0" applyNumberFormat="1" applyFont="1" applyFill="1" applyBorder="1" applyAlignment="1">
      <alignment horizontal="left" vertical="center" wrapText="1"/>
    </xf>
    <xf numFmtId="0" fontId="6" fillId="7" borderId="12" xfId="0" applyNumberFormat="1" applyFont="1" applyFill="1" applyBorder="1" applyAlignment="1">
      <alignment horizontal="left" vertical="center" wrapText="1"/>
    </xf>
    <xf numFmtId="1" fontId="6" fillId="3" borderId="4" xfId="0" applyNumberFormat="1" applyFont="1" applyFill="1" applyBorder="1" applyAlignment="1">
      <alignment horizontal="right" vertical="center" wrapText="1"/>
    </xf>
    <xf numFmtId="1" fontId="6" fillId="3" borderId="7" xfId="0" applyNumberFormat="1" applyFont="1" applyFill="1" applyBorder="1" applyAlignment="1">
      <alignment horizontal="right" vertical="center" wrapText="1"/>
    </xf>
    <xf numFmtId="1" fontId="6" fillId="3" borderId="5" xfId="0" applyNumberFormat="1" applyFont="1" applyFill="1" applyBorder="1" applyAlignment="1">
      <alignment horizontal="right" vertical="center" wrapText="1"/>
    </xf>
    <xf numFmtId="0" fontId="15" fillId="2" borderId="8" xfId="0" applyNumberFormat="1" applyFont="1" applyFill="1" applyBorder="1" applyAlignment="1">
      <alignment horizontal="left" vertical="center" wrapText="1" indent="1"/>
    </xf>
    <xf numFmtId="0" fontId="15" fillId="2" borderId="6" xfId="0" applyNumberFormat="1" applyFont="1" applyFill="1" applyBorder="1" applyAlignment="1">
      <alignment horizontal="left" vertical="center" wrapText="1" indent="1"/>
    </xf>
    <xf numFmtId="0" fontId="15" fillId="2" borderId="9" xfId="0" applyNumberFormat="1" applyFont="1" applyFill="1" applyBorder="1" applyAlignment="1">
      <alignment horizontal="left" vertical="center" wrapText="1" indent="1"/>
    </xf>
    <xf numFmtId="0" fontId="15" fillId="5" borderId="4" xfId="0" applyNumberFormat="1" applyFont="1" applyFill="1" applyBorder="1" applyAlignment="1">
      <alignment horizontal="left" vertical="center" wrapText="1" indent="1"/>
    </xf>
    <xf numFmtId="0" fontId="15" fillId="5" borderId="7" xfId="0" applyNumberFormat="1" applyFont="1" applyFill="1" applyBorder="1" applyAlignment="1">
      <alignment horizontal="left" vertical="center" wrapText="1" indent="1"/>
    </xf>
    <xf numFmtId="0" fontId="15" fillId="5" borderId="5" xfId="0" applyNumberFormat="1" applyFont="1" applyFill="1" applyBorder="1" applyAlignment="1">
      <alignment horizontal="left" vertical="center" wrapText="1" indent="1"/>
    </xf>
    <xf numFmtId="3" fontId="15" fillId="5" borderId="8" xfId="1" applyNumberFormat="1" applyFont="1" applyFill="1" applyBorder="1" applyAlignment="1">
      <alignment horizontal="right" vertical="center" wrapText="1"/>
    </xf>
    <xf numFmtId="3" fontId="15" fillId="5" borderId="6" xfId="1" applyNumberFormat="1" applyFont="1" applyFill="1" applyBorder="1" applyAlignment="1">
      <alignment horizontal="right" vertical="center" wrapText="1"/>
    </xf>
    <xf numFmtId="3" fontId="15" fillId="5" borderId="9" xfId="1" applyNumberFormat="1" applyFont="1" applyFill="1" applyBorder="1" applyAlignment="1">
      <alignment horizontal="right" vertical="center" wrapText="1"/>
    </xf>
    <xf numFmtId="3" fontId="15" fillId="2" borderId="4" xfId="1" applyNumberFormat="1" applyFont="1" applyFill="1" applyBorder="1" applyAlignment="1">
      <alignment horizontal="right" vertical="center" wrapText="1"/>
    </xf>
    <xf numFmtId="3" fontId="15" fillId="2" borderId="7" xfId="1" applyNumberFormat="1" applyFont="1" applyFill="1" applyBorder="1" applyAlignment="1">
      <alignment horizontal="right" vertical="center" wrapText="1"/>
    </xf>
    <xf numFmtId="3" fontId="15" fillId="2" borderId="5" xfId="1" applyNumberFormat="1" applyFont="1" applyFill="1" applyBorder="1" applyAlignment="1">
      <alignment horizontal="right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17" fillId="2" borderId="3" xfId="0" applyNumberFormat="1" applyFont="1" applyFill="1" applyBorder="1" applyAlignment="1">
      <alignment horizontal="center" vertical="center" wrapText="1"/>
    </xf>
    <xf numFmtId="0" fontId="17" fillId="2" borderId="8" xfId="0" applyNumberFormat="1" applyFont="1" applyFill="1" applyBorder="1" applyAlignment="1">
      <alignment horizontal="center" vertical="center" wrapText="1"/>
    </xf>
    <xf numFmtId="0" fontId="17" fillId="2" borderId="9" xfId="0" applyNumberFormat="1" applyFont="1" applyFill="1" applyBorder="1" applyAlignment="1">
      <alignment horizontal="center" vertical="center" wrapText="1"/>
    </xf>
    <xf numFmtId="1" fontId="15" fillId="5" borderId="8" xfId="1" applyNumberFormat="1" applyFont="1" applyFill="1" applyBorder="1" applyAlignment="1">
      <alignment horizontal="right" vertical="center" wrapText="1"/>
    </xf>
    <xf numFmtId="1" fontId="15" fillId="5" borderId="6" xfId="1" applyNumberFormat="1" applyFont="1" applyFill="1" applyBorder="1" applyAlignment="1">
      <alignment horizontal="right" vertical="center" wrapText="1"/>
    </xf>
    <xf numFmtId="1" fontId="15" fillId="5" borderId="9" xfId="1" applyNumberFormat="1" applyFont="1" applyFill="1" applyBorder="1" applyAlignment="1">
      <alignment horizontal="right" vertical="center" wrapText="1"/>
    </xf>
    <xf numFmtId="1" fontId="18" fillId="5" borderId="8" xfId="0" applyNumberFormat="1" applyFont="1" applyFill="1" applyBorder="1" applyAlignment="1">
      <alignment horizontal="right" vertical="center" wrapText="1"/>
    </xf>
    <xf numFmtId="1" fontId="18" fillId="5" borderId="9" xfId="0" applyNumberFormat="1" applyFont="1" applyFill="1" applyBorder="1" applyAlignment="1">
      <alignment horizontal="right" vertical="center" wrapText="1"/>
    </xf>
    <xf numFmtId="0" fontId="17" fillId="3" borderId="3" xfId="0" applyNumberFormat="1" applyFont="1" applyFill="1" applyBorder="1" applyAlignment="1">
      <alignment horizontal="center" vertical="center" wrapText="1"/>
    </xf>
    <xf numFmtId="1" fontId="15" fillId="3" borderId="4" xfId="1" applyNumberFormat="1" applyFont="1" applyFill="1" applyBorder="1" applyAlignment="1">
      <alignment horizontal="right" vertical="center" wrapText="1"/>
    </xf>
    <xf numFmtId="1" fontId="15" fillId="3" borderId="7" xfId="1" applyNumberFormat="1" applyFont="1" applyFill="1" applyBorder="1" applyAlignment="1">
      <alignment horizontal="right" vertical="center" wrapText="1"/>
    </xf>
    <xf numFmtId="1" fontId="15" fillId="3" borderId="5" xfId="1" applyNumberFormat="1" applyFont="1" applyFill="1" applyBorder="1" applyAlignment="1">
      <alignment horizontal="right" vertical="center" wrapText="1"/>
    </xf>
    <xf numFmtId="1" fontId="15" fillId="3" borderId="3" xfId="1" applyNumberFormat="1" applyFont="1" applyFill="1" applyBorder="1" applyAlignment="1">
      <alignment horizontal="right" vertical="center" wrapText="1"/>
    </xf>
    <xf numFmtId="1" fontId="18" fillId="3" borderId="3" xfId="0" applyNumberFormat="1" applyFont="1" applyFill="1" applyBorder="1" applyAlignment="1">
      <alignment horizontal="right" vertic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E6E6E6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7</xdr:col>
      <xdr:colOff>381000</xdr:colOff>
      <xdr:row>3</xdr:row>
      <xdr:rowOff>9525</xdr:rowOff>
    </xdr:to>
    <xdr:pic>
      <xdr:nvPicPr>
        <xdr:cNvPr id="1550" name="Picture 1">
          <a:extLst>
            <a:ext uri="{FF2B5EF4-FFF2-40B4-BE49-F238E27FC236}">
              <a16:creationId xmlns:a16="http://schemas.microsoft.com/office/drawing/2014/main" id="{C0C9C02A-492B-7797-996C-630317E66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447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2"/>
  <sheetViews>
    <sheetView tabSelected="1" topLeftCell="A192" zoomScaleNormal="100" workbookViewId="0">
      <selection activeCell="BU236" sqref="BU236"/>
    </sheetView>
  </sheetViews>
  <sheetFormatPr defaultColWidth="9.1796875" defaultRowHeight="12.5" x14ac:dyDescent="0.25"/>
  <cols>
    <col min="1" max="1" width="2.54296875" style="7" bestFit="1" customWidth="1"/>
    <col min="2" max="4" width="1.26953125" style="7" bestFit="1" customWidth="1"/>
    <col min="5" max="5" width="6.453125" style="7" bestFit="1" customWidth="1"/>
    <col min="6" max="6" width="2.54296875" style="7" bestFit="1" customWidth="1"/>
    <col min="7" max="7" width="1.26953125" style="7" bestFit="1" customWidth="1"/>
    <col min="8" max="8" width="6.453125" style="7" bestFit="1" customWidth="1"/>
    <col min="9" max="9" width="2.54296875" style="7" bestFit="1" customWidth="1"/>
    <col min="10" max="10" width="3.81640625" style="7" bestFit="1" customWidth="1"/>
    <col min="11" max="14" width="1.26953125" style="7" bestFit="1" customWidth="1"/>
    <col min="15" max="15" width="3.7265625" style="7" customWidth="1"/>
    <col min="16" max="16" width="2.54296875" style="7" bestFit="1" customWidth="1"/>
    <col min="17" max="18" width="1.26953125" style="7" bestFit="1" customWidth="1"/>
    <col min="19" max="19" width="2.54296875" style="7" bestFit="1" customWidth="1"/>
    <col min="20" max="24" width="1.26953125" style="7" bestFit="1" customWidth="1"/>
    <col min="25" max="27" width="1.26953125" style="7" customWidth="1"/>
    <col min="28" max="28" width="4.453125" style="7" customWidth="1"/>
    <col min="29" max="30" width="1.26953125" style="7" customWidth="1"/>
    <col min="31" max="31" width="2.54296875" style="7" customWidth="1"/>
    <col min="32" max="32" width="1.26953125" style="7" bestFit="1" customWidth="1"/>
    <col min="33" max="33" width="4.1796875" style="7" customWidth="1"/>
    <col min="34" max="34" width="4.81640625" style="7" customWidth="1"/>
    <col min="35" max="35" width="1.26953125" style="7" bestFit="1" customWidth="1"/>
    <col min="36" max="37" width="2.54296875" style="7" bestFit="1" customWidth="1"/>
    <col min="38" max="38" width="1.26953125" style="7" bestFit="1" customWidth="1"/>
    <col min="39" max="39" width="2.54296875" style="7" bestFit="1" customWidth="1"/>
    <col min="40" max="43" width="1.26953125" style="7" bestFit="1" customWidth="1"/>
    <col min="44" max="44" width="3.81640625" style="7" bestFit="1" customWidth="1"/>
    <col min="45" max="45" width="1.26953125" style="7" bestFit="1" customWidth="1"/>
    <col min="46" max="46" width="2.54296875" style="7" bestFit="1" customWidth="1"/>
    <col min="47" max="47" width="1.26953125" style="7" bestFit="1" customWidth="1"/>
    <col min="48" max="48" width="2.54296875" style="7" bestFit="1" customWidth="1"/>
    <col min="49" max="55" width="1.26953125" style="7" bestFit="1" customWidth="1"/>
    <col min="56" max="56" width="2.54296875" style="7" bestFit="1" customWidth="1"/>
    <col min="57" max="58" width="1.26953125" style="7" bestFit="1" customWidth="1"/>
    <col min="59" max="59" width="0.453125" style="7" customWidth="1"/>
    <col min="60" max="60" width="2.7265625" style="7" customWidth="1"/>
    <col min="61" max="62" width="1.26953125" style="7" bestFit="1" customWidth="1"/>
    <col min="63" max="63" width="2.54296875" style="7" bestFit="1" customWidth="1"/>
    <col min="64" max="64" width="1.26953125" style="7" bestFit="1" customWidth="1"/>
    <col min="65" max="65" width="1.36328125" style="7" customWidth="1"/>
    <col min="66" max="69" width="1.26953125" style="7" hidden="1" customWidth="1"/>
    <col min="70" max="70" width="2.54296875" style="7" bestFit="1" customWidth="1"/>
    <col min="71" max="71" width="13.54296875" style="7" customWidth="1"/>
    <col min="72" max="72" width="9.7265625" style="7" bestFit="1" customWidth="1"/>
    <col min="73" max="74" width="10.1796875" style="7" bestFit="1" customWidth="1"/>
    <col min="75" max="75" width="11" style="7" bestFit="1" customWidth="1"/>
    <col min="76" max="77" width="10.1796875" style="7" bestFit="1" customWidth="1"/>
    <col min="78" max="256" width="11.453125" style="7" customWidth="1"/>
    <col min="257" max="16384" width="9.1796875" style="7"/>
  </cols>
  <sheetData>
    <row r="1" spans="1:71" ht="16" customHeight="1" x14ac:dyDescent="0.25">
      <c r="A1" s="182"/>
      <c r="B1" s="182"/>
      <c r="C1" s="182"/>
      <c r="D1" s="182"/>
      <c r="E1" s="182"/>
      <c r="F1" s="182"/>
      <c r="G1" s="182"/>
      <c r="H1" s="182"/>
      <c r="I1" s="184" t="s">
        <v>0</v>
      </c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5" t="s">
        <v>1</v>
      </c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</row>
    <row r="2" spans="1:71" ht="10.9" customHeight="1" x14ac:dyDescent="0.25">
      <c r="A2" s="182"/>
      <c r="B2" s="182"/>
      <c r="C2" s="182"/>
      <c r="D2" s="182"/>
      <c r="E2" s="182"/>
      <c r="F2" s="182"/>
      <c r="G2" s="182"/>
      <c r="H2" s="182"/>
      <c r="I2" s="136" t="s">
        <v>2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</row>
    <row r="3" spans="1:71" ht="10.9" customHeight="1" x14ac:dyDescent="0.25">
      <c r="A3" s="183"/>
      <c r="B3" s="183"/>
      <c r="C3" s="183"/>
      <c r="D3" s="183"/>
      <c r="E3" s="183"/>
      <c r="F3" s="183"/>
      <c r="G3" s="183"/>
      <c r="H3" s="183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</row>
    <row r="4" spans="1:71" ht="10.9" customHeight="1" x14ac:dyDescent="0.25">
      <c r="A4" s="183"/>
      <c r="B4" s="183"/>
      <c r="C4" s="183"/>
      <c r="D4" s="183"/>
      <c r="E4" s="183"/>
      <c r="F4" s="183"/>
      <c r="G4" s="183"/>
      <c r="H4" s="183"/>
      <c r="I4" s="136" t="s">
        <v>3</v>
      </c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</row>
    <row r="5" spans="1:71" ht="10.9" customHeight="1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</row>
    <row r="6" spans="1:71" ht="16" customHeight="1" x14ac:dyDescent="0.25">
      <c r="A6" s="178" t="s">
        <v>4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</row>
    <row r="7" spans="1:71" ht="10.9" customHeight="1" x14ac:dyDescent="0.25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</row>
    <row r="8" spans="1:71" ht="13.4" customHeight="1" x14ac:dyDescent="0.25">
      <c r="A8" s="186" t="s">
        <v>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/>
      <c r="S8" s="187"/>
      <c r="T8" s="187"/>
      <c r="U8" s="187"/>
      <c r="V8" s="1"/>
      <c r="W8" s="186" t="s">
        <v>6</v>
      </c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7"/>
      <c r="BQ8" s="187"/>
      <c r="BR8" s="187"/>
      <c r="BS8" s="187"/>
    </row>
    <row r="9" spans="1:71" ht="10.9" customHeight="1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</row>
    <row r="10" spans="1:71" ht="10.9" customHeight="1" x14ac:dyDescent="0.25">
      <c r="A10" s="18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9" t="s">
        <v>7</v>
      </c>
      <c r="M10" s="189"/>
      <c r="N10" s="189"/>
      <c r="O10" s="189"/>
      <c r="P10" s="189"/>
      <c r="Q10" s="189"/>
      <c r="R10" s="189"/>
      <c r="S10" s="189"/>
      <c r="T10" s="189"/>
      <c r="U10" s="189"/>
      <c r="V10" s="1"/>
      <c r="W10" s="188" t="s">
        <v>8</v>
      </c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"/>
      <c r="AX10" s="188" t="s">
        <v>9</v>
      </c>
      <c r="AY10" s="188"/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8"/>
      <c r="BM10" s="188"/>
      <c r="BN10" s="188"/>
      <c r="BO10" s="188"/>
      <c r="BP10" s="188"/>
      <c r="BQ10" s="188"/>
      <c r="BR10" s="188"/>
      <c r="BS10" s="188"/>
    </row>
    <row r="11" spans="1:71" ht="10.9" customHeight="1" x14ac:dyDescent="0.25">
      <c r="A11" s="136" t="s">
        <v>10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90">
        <v>100000000</v>
      </c>
      <c r="M11" s="190"/>
      <c r="N11" s="190"/>
      <c r="O11" s="190"/>
      <c r="P11" s="190"/>
      <c r="Q11" s="190"/>
      <c r="R11" s="190"/>
      <c r="S11" s="190"/>
      <c r="T11" s="190"/>
      <c r="U11" s="190"/>
      <c r="V11" s="1"/>
      <c r="W11" s="136" t="s">
        <v>11</v>
      </c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"/>
      <c r="AX11" s="136" t="s">
        <v>12</v>
      </c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</row>
    <row r="12" spans="1:71" ht="10.9" customHeight="1" x14ac:dyDescent="0.25">
      <c r="A12" s="136" t="s">
        <v>13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91"/>
      <c r="M12" s="185"/>
      <c r="N12" s="185"/>
      <c r="O12" s="185"/>
      <c r="P12" s="185"/>
      <c r="Q12" s="185"/>
      <c r="R12" s="185"/>
      <c r="S12" s="185"/>
      <c r="T12" s="185"/>
      <c r="U12" s="185"/>
      <c r="V12" s="1"/>
      <c r="W12" s="188" t="s">
        <v>14</v>
      </c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"/>
      <c r="AX12" s="188" t="s">
        <v>15</v>
      </c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</row>
    <row r="13" spans="1:71" ht="10.9" customHeight="1" x14ac:dyDescent="0.25">
      <c r="A13" s="136" t="s">
        <v>16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92"/>
      <c r="M13" s="185"/>
      <c r="N13" s="185"/>
      <c r="O13" s="185"/>
      <c r="P13" s="185"/>
      <c r="Q13" s="185"/>
      <c r="R13" s="185"/>
      <c r="S13" s="185"/>
      <c r="T13" s="185"/>
      <c r="U13" s="185"/>
      <c r="V13" s="1"/>
      <c r="W13" s="136" t="s">
        <v>17</v>
      </c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"/>
      <c r="AX13" s="136" t="s">
        <v>18</v>
      </c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</row>
    <row r="14" spans="1:71" ht="10.9" customHeight="1" x14ac:dyDescent="0.25">
      <c r="A14" s="136" t="s">
        <v>19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93"/>
      <c r="M14" s="185"/>
      <c r="N14" s="185"/>
      <c r="O14" s="185"/>
      <c r="P14" s="185"/>
      <c r="Q14" s="185"/>
      <c r="R14" s="185"/>
      <c r="S14" s="185"/>
      <c r="T14" s="185"/>
      <c r="U14" s="185"/>
      <c r="V14" s="1"/>
      <c r="W14" s="188" t="s">
        <v>20</v>
      </c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</row>
    <row r="15" spans="1:71" ht="10.9" customHeight="1" x14ac:dyDescent="0.2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</row>
    <row r="16" spans="1:71" ht="13.4" customHeight="1" x14ac:dyDescent="0.25">
      <c r="A16" s="186" t="s">
        <v>21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</row>
    <row r="17" spans="1:71" ht="10.9" customHeight="1" x14ac:dyDescent="0.2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</row>
    <row r="18" spans="1:71" ht="10.9" customHeight="1" x14ac:dyDescent="0.25">
      <c r="A18" s="136" t="s">
        <v>22</v>
      </c>
      <c r="B18" s="136"/>
      <c r="C18" s="136"/>
      <c r="D18" s="136"/>
      <c r="E18" s="136"/>
      <c r="F18" s="136"/>
      <c r="G18" s="136"/>
      <c r="H18" s="136"/>
      <c r="I18" s="136"/>
      <c r="J18" s="136" t="s">
        <v>2</v>
      </c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</row>
    <row r="19" spans="1:71" ht="10.9" customHeight="1" x14ac:dyDescent="0.25">
      <c r="A19" s="188" t="s">
        <v>23</v>
      </c>
      <c r="B19" s="188"/>
      <c r="C19" s="188"/>
      <c r="D19" s="188"/>
      <c r="E19" s="188"/>
      <c r="F19" s="188"/>
      <c r="G19" s="188"/>
      <c r="H19" s="188"/>
      <c r="I19" s="188"/>
      <c r="J19" s="188" t="s">
        <v>24</v>
      </c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  <c r="BP19" s="188"/>
      <c r="BQ19" s="188"/>
      <c r="BR19" s="188"/>
      <c r="BS19" s="188"/>
    </row>
    <row r="20" spans="1:71" ht="10.9" customHeight="1" x14ac:dyDescent="0.25">
      <c r="A20" s="136" t="s">
        <v>25</v>
      </c>
      <c r="B20" s="136"/>
      <c r="C20" s="136"/>
      <c r="D20" s="136"/>
      <c r="E20" s="136"/>
      <c r="F20" s="136"/>
      <c r="G20" s="136"/>
      <c r="H20" s="136"/>
      <c r="I20" s="136"/>
      <c r="J20" s="136" t="s">
        <v>26</v>
      </c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</row>
    <row r="21" spans="1:71" ht="22" customHeight="1" x14ac:dyDescent="0.25">
      <c r="A21" s="188" t="s">
        <v>27</v>
      </c>
      <c r="B21" s="188"/>
      <c r="C21" s="188"/>
      <c r="D21" s="188"/>
      <c r="E21" s="188"/>
      <c r="F21" s="188"/>
      <c r="G21" s="188"/>
      <c r="H21" s="188"/>
      <c r="I21" s="188"/>
      <c r="J21" s="188" t="s">
        <v>28</v>
      </c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2"/>
      <c r="AM21" s="188" t="s">
        <v>29</v>
      </c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  <c r="BP21" s="188"/>
      <c r="BQ21" s="188"/>
      <c r="BR21" s="188"/>
      <c r="BS21" s="188"/>
    </row>
    <row r="22" spans="1:71" ht="10.9" customHeight="1" x14ac:dyDescent="0.25">
      <c r="A22" s="136" t="s">
        <v>30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</row>
    <row r="23" spans="1:71" ht="10.9" customHeight="1" x14ac:dyDescent="0.25">
      <c r="A23" s="188" t="s">
        <v>31</v>
      </c>
      <c r="B23" s="188"/>
      <c r="C23" s="188"/>
      <c r="D23" s="188"/>
      <c r="E23" s="188"/>
      <c r="F23" s="188"/>
      <c r="G23" s="188"/>
      <c r="H23" s="188"/>
      <c r="I23" s="188"/>
      <c r="J23" s="188" t="s">
        <v>32</v>
      </c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88"/>
      <c r="BG23" s="188"/>
      <c r="BH23" s="188"/>
      <c r="BI23" s="188"/>
      <c r="BJ23" s="188"/>
      <c r="BK23" s="188"/>
      <c r="BL23" s="188"/>
      <c r="BM23" s="188"/>
      <c r="BN23" s="188"/>
      <c r="BO23" s="188"/>
      <c r="BP23" s="188"/>
      <c r="BQ23" s="188"/>
      <c r="BR23" s="188"/>
      <c r="BS23" s="188"/>
    </row>
    <row r="24" spans="1:71" ht="10.9" customHeight="1" x14ac:dyDescent="0.25">
      <c r="A24" s="136" t="s">
        <v>33</v>
      </c>
      <c r="B24" s="136"/>
      <c r="C24" s="136"/>
      <c r="D24" s="136"/>
      <c r="E24" s="136"/>
      <c r="F24" s="136"/>
      <c r="G24" s="136"/>
      <c r="H24" s="136"/>
      <c r="I24" s="136"/>
      <c r="J24" s="136" t="s">
        <v>34</v>
      </c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</row>
    <row r="25" spans="1:71" ht="10.9" customHeight="1" x14ac:dyDescent="0.25">
      <c r="A25" s="188" t="s">
        <v>35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8"/>
      <c r="BM25" s="188"/>
      <c r="BN25" s="188"/>
      <c r="BO25" s="188"/>
      <c r="BP25" s="188"/>
      <c r="BQ25" s="188"/>
      <c r="BR25" s="188"/>
      <c r="BS25" s="188"/>
    </row>
    <row r="26" spans="1:71" ht="10.9" customHeight="1" x14ac:dyDescent="0.25">
      <c r="A26" s="136" t="s">
        <v>36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"/>
      <c r="AM26" s="136" t="s">
        <v>37</v>
      </c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</row>
    <row r="27" spans="1:71" ht="10.9" customHeight="1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</row>
    <row r="28" spans="1:71" ht="13.4" customHeight="1" x14ac:dyDescent="0.25">
      <c r="A28" s="186" t="s">
        <v>38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3"/>
      <c r="AM28" s="186" t="s">
        <v>39</v>
      </c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</row>
    <row r="29" spans="1:71" ht="10.9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</row>
    <row r="30" spans="1:71" ht="10.9" customHeight="1" x14ac:dyDescent="0.25">
      <c r="A30" s="136" t="s">
        <v>40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"/>
      <c r="AM30" s="136" t="s">
        <v>41</v>
      </c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94">
        <v>100000000</v>
      </c>
      <c r="BP30" s="136"/>
      <c r="BQ30" s="136"/>
      <c r="BR30" s="136"/>
      <c r="BS30" s="136"/>
    </row>
    <row r="31" spans="1:71" ht="10.9" customHeight="1" x14ac:dyDescent="0.25">
      <c r="A31" s="188" t="s">
        <v>42</v>
      </c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"/>
      <c r="AM31" s="188" t="s">
        <v>43</v>
      </c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8"/>
      <c r="BM31" s="188"/>
      <c r="BN31" s="188"/>
      <c r="BO31" s="195">
        <v>0</v>
      </c>
      <c r="BP31" s="195"/>
      <c r="BQ31" s="195"/>
      <c r="BR31" s="195"/>
      <c r="BS31" s="195"/>
    </row>
    <row r="32" spans="1:71" ht="10.9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"/>
      <c r="AM32" s="136" t="s">
        <v>44</v>
      </c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96"/>
      <c r="BP32" s="136"/>
      <c r="BQ32" s="136"/>
      <c r="BR32" s="136"/>
      <c r="BS32" s="136"/>
    </row>
    <row r="33" spans="1:71" ht="13.4" customHeight="1" x14ac:dyDescent="0.25">
      <c r="A33" s="186" t="s">
        <v>45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7"/>
      <c r="AG33" s="187"/>
      <c r="AH33" s="187"/>
      <c r="AI33" s="187"/>
      <c r="AJ33" s="187"/>
      <c r="AK33" s="187"/>
      <c r="AL33" s="1"/>
      <c r="AM33" s="188" t="s">
        <v>46</v>
      </c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8"/>
      <c r="BM33" s="188"/>
      <c r="BN33" s="188"/>
      <c r="BO33" s="195"/>
      <c r="BP33" s="195"/>
      <c r="BQ33" s="195"/>
      <c r="BR33" s="195"/>
      <c r="BS33" s="195"/>
    </row>
    <row r="34" spans="1:71" ht="10.9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"/>
      <c r="AM34" s="136" t="s">
        <v>47</v>
      </c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97"/>
      <c r="BP34" s="136"/>
      <c r="BQ34" s="136"/>
      <c r="BR34" s="136"/>
      <c r="BS34" s="136"/>
    </row>
    <row r="35" spans="1:71" ht="10.9" customHeight="1" x14ac:dyDescent="0.25">
      <c r="A35" s="136" t="s">
        <v>48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</row>
    <row r="36" spans="1:71" ht="13.4" customHeight="1" x14ac:dyDescent="0.25">
      <c r="A36" s="188" t="s">
        <v>49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"/>
      <c r="AM36" s="186" t="s">
        <v>50</v>
      </c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7"/>
      <c r="BP36" s="187"/>
      <c r="BQ36" s="187"/>
      <c r="BR36" s="187"/>
      <c r="BS36" s="187"/>
    </row>
    <row r="37" spans="1:71" ht="13.4" customHeight="1" x14ac:dyDescent="0.25">
      <c r="A37" s="136" t="s">
        <v>51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8"/>
      <c r="BN37" s="198"/>
      <c r="BO37" s="199"/>
      <c r="BP37" s="199"/>
      <c r="BQ37" s="199"/>
      <c r="BR37" s="199"/>
      <c r="BS37" s="199"/>
    </row>
    <row r="38" spans="1:71" ht="10.9" customHeight="1" x14ac:dyDescent="0.25">
      <c r="A38" s="188" t="s">
        <v>52</v>
      </c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"/>
      <c r="AM38" s="136" t="s">
        <v>53</v>
      </c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94">
        <f>+BO31+BO33+BO30</f>
        <v>100000000</v>
      </c>
      <c r="BP38" s="136"/>
      <c r="BQ38" s="136"/>
      <c r="BR38" s="136"/>
      <c r="BS38" s="136"/>
    </row>
    <row r="39" spans="1:71" ht="10.9" customHeight="1" x14ac:dyDescent="0.2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</row>
    <row r="40" spans="1:71" ht="13.4" customHeight="1" x14ac:dyDescent="0.25">
      <c r="A40" s="186" t="s">
        <v>54</v>
      </c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3"/>
      <c r="AM40" s="186" t="s">
        <v>55</v>
      </c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</row>
    <row r="41" spans="1:71" ht="10.9" customHeight="1" x14ac:dyDescent="0.25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  <c r="BQ41" s="136"/>
      <c r="BR41" s="136"/>
      <c r="BS41" s="136"/>
    </row>
    <row r="42" spans="1:71" ht="10.9" customHeight="1" x14ac:dyDescent="0.25">
      <c r="A42" s="136" t="s">
        <v>56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"/>
      <c r="AM42" s="136" t="s">
        <v>57</v>
      </c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</row>
    <row r="43" spans="1:71" ht="10.9" customHeight="1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"/>
      <c r="AM43" s="188" t="s">
        <v>58</v>
      </c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</row>
    <row r="44" spans="1:71" ht="13.4" customHeight="1" x14ac:dyDescent="0.25">
      <c r="A44" s="186" t="s">
        <v>59</v>
      </c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7"/>
      <c r="AG44" s="187"/>
      <c r="AH44" s="187"/>
      <c r="AI44" s="187"/>
      <c r="AJ44" s="187"/>
      <c r="AK44" s="187"/>
      <c r="AL44" s="1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</row>
    <row r="45" spans="1:71" ht="13.4" customHeight="1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9"/>
      <c r="AG45" s="199"/>
      <c r="AH45" s="199"/>
      <c r="AI45" s="199"/>
      <c r="AJ45" s="199"/>
      <c r="AK45" s="199"/>
      <c r="AL45" s="1"/>
      <c r="AM45" s="186" t="s">
        <v>60</v>
      </c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7"/>
      <c r="BP45" s="187"/>
      <c r="BQ45" s="187"/>
      <c r="BR45" s="187"/>
      <c r="BS45" s="187"/>
    </row>
    <row r="46" spans="1:71" ht="13.4" customHeight="1" x14ac:dyDescent="0.25">
      <c r="A46" s="136" t="s">
        <v>61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9"/>
      <c r="BP46" s="199"/>
      <c r="BQ46" s="199"/>
      <c r="BR46" s="199"/>
      <c r="BS46" s="199"/>
    </row>
    <row r="47" spans="1:71" ht="10.9" customHeight="1" x14ac:dyDescent="0.25">
      <c r="A47" s="188" t="s">
        <v>62</v>
      </c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"/>
      <c r="AM47" s="136" t="s">
        <v>63</v>
      </c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</row>
    <row r="48" spans="1:71" ht="10.9" customHeight="1" x14ac:dyDescent="0.25">
      <c r="A48" s="136" t="s">
        <v>64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"/>
      <c r="AM48" s="188" t="s">
        <v>65</v>
      </c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8"/>
      <c r="BN48" s="188"/>
      <c r="BO48" s="188"/>
      <c r="BP48" s="188"/>
      <c r="BQ48" s="188"/>
      <c r="BR48" s="188"/>
      <c r="BS48" s="188"/>
    </row>
    <row r="49" spans="1:75" ht="10.9" customHeight="1" x14ac:dyDescent="0.25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</row>
    <row r="50" spans="1:75" ht="16" customHeight="1" x14ac:dyDescent="0.25">
      <c r="A50" s="178" t="s">
        <v>66</v>
      </c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</row>
    <row r="51" spans="1:75" ht="29.25" customHeight="1" x14ac:dyDescent="0.25">
      <c r="A51" s="200" t="s">
        <v>67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0"/>
      <c r="BG51" s="200"/>
      <c r="BH51" s="200"/>
      <c r="BI51" s="200"/>
      <c r="BJ51" s="200"/>
      <c r="BK51" s="200"/>
      <c r="BL51" s="200"/>
      <c r="BM51" s="200"/>
      <c r="BN51" s="200"/>
      <c r="BO51" s="200"/>
      <c r="BP51" s="200"/>
      <c r="BQ51" s="200"/>
      <c r="BR51" s="200"/>
      <c r="BS51" s="200"/>
    </row>
    <row r="52" spans="1:75" ht="10.9" customHeight="1" x14ac:dyDescent="0.25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</row>
    <row r="53" spans="1:75" ht="16" customHeight="1" x14ac:dyDescent="0.25">
      <c r="A53" s="178" t="s">
        <v>68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</row>
    <row r="54" spans="1:75" ht="10.9" customHeight="1" x14ac:dyDescent="0.25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</row>
    <row r="55" spans="1:75" ht="10.9" customHeight="1" x14ac:dyDescent="0.25">
      <c r="A55" s="180" t="s">
        <v>69</v>
      </c>
      <c r="B55" s="180"/>
      <c r="C55" s="180"/>
      <c r="D55" s="180"/>
      <c r="E55" s="180"/>
      <c r="F55" s="180"/>
      <c r="G55" s="179" t="s">
        <v>70</v>
      </c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</row>
    <row r="56" spans="1:75" ht="10.9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  <c r="AT56" s="201"/>
      <c r="AU56" s="201"/>
      <c r="AV56" s="201"/>
      <c r="AW56" s="201"/>
      <c r="AX56" s="201"/>
      <c r="AY56" s="201"/>
      <c r="AZ56" s="201"/>
      <c r="BA56" s="201"/>
      <c r="BB56" s="201"/>
      <c r="BC56" s="201"/>
      <c r="BD56" s="201"/>
      <c r="BE56" s="201"/>
      <c r="BF56" s="201"/>
      <c r="BG56" s="201"/>
      <c r="BH56" s="201"/>
      <c r="BI56" s="201"/>
      <c r="BJ56" s="201"/>
      <c r="BK56" s="201"/>
      <c r="BL56" s="201"/>
      <c r="BM56" s="201"/>
      <c r="BN56" s="201"/>
      <c r="BO56" s="201"/>
      <c r="BP56" s="201"/>
      <c r="BQ56" s="201"/>
      <c r="BR56" s="201"/>
      <c r="BS56" s="201"/>
    </row>
    <row r="57" spans="1:75" ht="51.75" customHeight="1" x14ac:dyDescent="0.25">
      <c r="A57" s="98" t="s">
        <v>71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107" t="s">
        <v>72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9"/>
      <c r="AE57" s="98" t="s">
        <v>73</v>
      </c>
      <c r="AF57" s="98"/>
      <c r="AG57" s="98"/>
      <c r="AH57" s="98"/>
      <c r="AI57" s="98" t="s">
        <v>74</v>
      </c>
      <c r="AJ57" s="98"/>
      <c r="AK57" s="98"/>
      <c r="AL57" s="98"/>
      <c r="AM57" s="4"/>
      <c r="AN57" s="97" t="s">
        <v>75</v>
      </c>
      <c r="AO57" s="98"/>
      <c r="AP57" s="98"/>
      <c r="AQ57" s="98"/>
      <c r="AR57" s="98"/>
      <c r="AS57" s="98"/>
      <c r="AT57" s="97" t="s">
        <v>76</v>
      </c>
      <c r="AU57" s="98"/>
      <c r="AV57" s="98"/>
      <c r="AW57" s="98"/>
      <c r="AX57" s="98"/>
      <c r="AY57" s="98"/>
      <c r="AZ57" s="97" t="s">
        <v>77</v>
      </c>
      <c r="BA57" s="98"/>
      <c r="BB57" s="98"/>
      <c r="BC57" s="98"/>
      <c r="BD57" s="98"/>
      <c r="BE57" s="98"/>
      <c r="BF57" s="98"/>
      <c r="BG57" s="97" t="s">
        <v>78</v>
      </c>
      <c r="BH57" s="98"/>
      <c r="BI57" s="98"/>
      <c r="BJ57" s="98"/>
      <c r="BK57" s="98"/>
      <c r="BL57" s="98"/>
      <c r="BM57" s="99" t="s">
        <v>79</v>
      </c>
      <c r="BN57" s="100"/>
      <c r="BO57" s="100"/>
      <c r="BP57" s="100"/>
      <c r="BQ57" s="101"/>
      <c r="BR57" s="98" t="s">
        <v>80</v>
      </c>
      <c r="BS57" s="98"/>
    </row>
    <row r="58" spans="1:75" s="8" customFormat="1" ht="17.25" customHeight="1" x14ac:dyDescent="0.25">
      <c r="A58" s="74" t="s">
        <v>81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6"/>
      <c r="P58" s="48" t="s">
        <v>82</v>
      </c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96">
        <v>0</v>
      </c>
      <c r="AF58" s="96"/>
      <c r="AG58" s="96"/>
      <c r="AH58" s="96"/>
      <c r="AI58" s="94">
        <v>2022</v>
      </c>
      <c r="AJ58" s="95"/>
      <c r="AK58" s="95"/>
      <c r="AL58" s="95"/>
      <c r="AM58" s="5" t="s">
        <v>83</v>
      </c>
      <c r="AN58" s="84"/>
      <c r="AO58" s="85"/>
      <c r="AP58" s="85"/>
      <c r="AQ58" s="85"/>
      <c r="AR58" s="85"/>
      <c r="AS58" s="86"/>
      <c r="AT58" s="84"/>
      <c r="AU58" s="85"/>
      <c r="AV58" s="85"/>
      <c r="AW58" s="85"/>
      <c r="AX58" s="85"/>
      <c r="AY58" s="86"/>
      <c r="AZ58" s="83"/>
      <c r="BA58" s="83"/>
      <c r="BB58" s="83"/>
      <c r="BC58" s="83"/>
      <c r="BD58" s="83"/>
      <c r="BE58" s="83"/>
      <c r="BF58" s="83"/>
      <c r="BG58" s="84"/>
      <c r="BH58" s="85"/>
      <c r="BI58" s="85"/>
      <c r="BJ58" s="85"/>
      <c r="BK58" s="85"/>
      <c r="BL58" s="86"/>
      <c r="BM58" s="87">
        <v>120000</v>
      </c>
      <c r="BN58" s="88"/>
      <c r="BO58" s="88"/>
      <c r="BP58" s="88"/>
      <c r="BQ58" s="89"/>
      <c r="BR58" s="90">
        <f>+BM58</f>
        <v>120000</v>
      </c>
      <c r="BS58" s="91"/>
    </row>
    <row r="59" spans="1:75" s="8" customFormat="1" ht="21.75" customHeight="1" x14ac:dyDescent="0.25">
      <c r="A59" s="77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9"/>
      <c r="P59" s="51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96"/>
      <c r="AF59" s="96"/>
      <c r="AG59" s="96"/>
      <c r="AH59" s="96"/>
      <c r="AI59" s="95"/>
      <c r="AJ59" s="95"/>
      <c r="AK59" s="95"/>
      <c r="AL59" s="95"/>
      <c r="AM59" s="6" t="s">
        <v>84</v>
      </c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68"/>
      <c r="BN59" s="69"/>
      <c r="BO59" s="69"/>
      <c r="BP59" s="69"/>
      <c r="BQ59" s="70"/>
      <c r="BR59" s="92"/>
      <c r="BS59" s="92"/>
      <c r="BW59" s="9"/>
    </row>
    <row r="60" spans="1:75" ht="10.9" customHeight="1" x14ac:dyDescent="0.25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</row>
    <row r="61" spans="1:75" ht="10.9" customHeight="1" x14ac:dyDescent="0.25">
      <c r="A61" s="180" t="s">
        <v>85</v>
      </c>
      <c r="B61" s="180"/>
      <c r="C61" s="180"/>
      <c r="D61" s="180"/>
      <c r="E61" s="180"/>
      <c r="F61" s="180"/>
      <c r="G61" s="179" t="s">
        <v>86</v>
      </c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  <c r="BN61" s="179"/>
      <c r="BO61" s="179"/>
      <c r="BP61" s="179"/>
      <c r="BQ61" s="179"/>
      <c r="BR61" s="179"/>
      <c r="BS61" s="179"/>
    </row>
    <row r="62" spans="1:75" ht="10.9" customHeight="1" x14ac:dyDescent="0.25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</row>
    <row r="63" spans="1:75" ht="51.75" customHeight="1" x14ac:dyDescent="0.25">
      <c r="A63" s="98" t="s">
        <v>71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107" t="s">
        <v>72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9"/>
      <c r="AE63" s="98" t="s">
        <v>73</v>
      </c>
      <c r="AF63" s="98"/>
      <c r="AG63" s="98"/>
      <c r="AH63" s="98"/>
      <c r="AI63" s="98" t="s">
        <v>74</v>
      </c>
      <c r="AJ63" s="98"/>
      <c r="AK63" s="98"/>
      <c r="AL63" s="98"/>
      <c r="AM63" s="4"/>
      <c r="AN63" s="97" t="s">
        <v>75</v>
      </c>
      <c r="AO63" s="98"/>
      <c r="AP63" s="98"/>
      <c r="AQ63" s="98"/>
      <c r="AR63" s="98"/>
      <c r="AS63" s="98"/>
      <c r="AT63" s="97" t="s">
        <v>76</v>
      </c>
      <c r="AU63" s="98"/>
      <c r="AV63" s="98"/>
      <c r="AW63" s="98"/>
      <c r="AX63" s="98"/>
      <c r="AY63" s="98"/>
      <c r="AZ63" s="97" t="s">
        <v>77</v>
      </c>
      <c r="BA63" s="98"/>
      <c r="BB63" s="98"/>
      <c r="BC63" s="98"/>
      <c r="BD63" s="98"/>
      <c r="BE63" s="98"/>
      <c r="BF63" s="98"/>
      <c r="BG63" s="97" t="s">
        <v>78</v>
      </c>
      <c r="BH63" s="98"/>
      <c r="BI63" s="98"/>
      <c r="BJ63" s="98"/>
      <c r="BK63" s="98"/>
      <c r="BL63" s="98"/>
      <c r="BM63" s="99" t="s">
        <v>79</v>
      </c>
      <c r="BN63" s="100"/>
      <c r="BO63" s="100"/>
      <c r="BP63" s="100"/>
      <c r="BQ63" s="101"/>
      <c r="BR63" s="98" t="s">
        <v>80</v>
      </c>
      <c r="BS63" s="98"/>
    </row>
    <row r="64" spans="1:75" s="8" customFormat="1" ht="12.75" customHeight="1" x14ac:dyDescent="0.25">
      <c r="A64" s="74" t="s">
        <v>87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6"/>
      <c r="P64" s="48" t="s">
        <v>88</v>
      </c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E64" s="96">
        <v>60</v>
      </c>
      <c r="AF64" s="96"/>
      <c r="AG64" s="96"/>
      <c r="AH64" s="96"/>
      <c r="AI64" s="94">
        <v>2022</v>
      </c>
      <c r="AJ64" s="95"/>
      <c r="AK64" s="95"/>
      <c r="AL64" s="95"/>
      <c r="AM64" s="5" t="s">
        <v>83</v>
      </c>
      <c r="AN64" s="84"/>
      <c r="AO64" s="85"/>
      <c r="AP64" s="85"/>
      <c r="AQ64" s="85"/>
      <c r="AR64" s="85"/>
      <c r="AS64" s="86"/>
      <c r="AT64" s="220"/>
      <c r="AU64" s="211"/>
      <c r="AV64" s="211"/>
      <c r="AW64" s="211"/>
      <c r="AX64" s="211"/>
      <c r="AY64" s="212"/>
      <c r="AZ64" s="205"/>
      <c r="BA64" s="205"/>
      <c r="BB64" s="205"/>
      <c r="BC64" s="205"/>
      <c r="BD64" s="205"/>
      <c r="BE64" s="205"/>
      <c r="BF64" s="205"/>
      <c r="BG64" s="210"/>
      <c r="BH64" s="211"/>
      <c r="BI64" s="211"/>
      <c r="BJ64" s="211"/>
      <c r="BK64" s="211"/>
      <c r="BL64" s="212"/>
      <c r="BM64" s="278">
        <v>50</v>
      </c>
      <c r="BN64" s="279"/>
      <c r="BO64" s="279"/>
      <c r="BP64" s="279"/>
      <c r="BQ64" s="280"/>
      <c r="BR64" s="285">
        <v>50</v>
      </c>
      <c r="BS64" s="285"/>
    </row>
    <row r="65" spans="1:75" s="8" customFormat="1" x14ac:dyDescent="0.25">
      <c r="A65" s="77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9"/>
      <c r="P65" s="51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96"/>
      <c r="AF65" s="96"/>
      <c r="AG65" s="96"/>
      <c r="AH65" s="96"/>
      <c r="AI65" s="95"/>
      <c r="AJ65" s="95"/>
      <c r="AK65" s="95"/>
      <c r="AL65" s="95"/>
      <c r="AM65" s="6" t="s">
        <v>84</v>
      </c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68"/>
      <c r="BN65" s="69"/>
      <c r="BO65" s="69"/>
      <c r="BP65" s="69"/>
      <c r="BQ65" s="70"/>
      <c r="BR65" s="92"/>
      <c r="BS65" s="92"/>
      <c r="BW65" s="9"/>
    </row>
    <row r="66" spans="1:75" ht="10.9" customHeight="1" x14ac:dyDescent="0.25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</row>
    <row r="67" spans="1:75" ht="10.9" customHeight="1" x14ac:dyDescent="0.25">
      <c r="A67" s="180" t="s">
        <v>89</v>
      </c>
      <c r="B67" s="180"/>
      <c r="C67" s="180"/>
      <c r="D67" s="180"/>
      <c r="E67" s="180"/>
      <c r="F67" s="180"/>
      <c r="G67" s="179" t="s">
        <v>90</v>
      </c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9"/>
      <c r="BS67" s="179"/>
    </row>
    <row r="68" spans="1:75" ht="10.9" customHeight="1" x14ac:dyDescent="0.25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</row>
    <row r="69" spans="1:75" ht="51.75" customHeight="1" x14ac:dyDescent="0.25">
      <c r="A69" s="98" t="s">
        <v>71</v>
      </c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107" t="s">
        <v>72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9"/>
      <c r="AE69" s="98" t="s">
        <v>73</v>
      </c>
      <c r="AF69" s="98"/>
      <c r="AG69" s="98"/>
      <c r="AH69" s="98"/>
      <c r="AI69" s="98" t="s">
        <v>74</v>
      </c>
      <c r="AJ69" s="98"/>
      <c r="AK69" s="98"/>
      <c r="AL69" s="98"/>
      <c r="AM69" s="4"/>
      <c r="AN69" s="97" t="s">
        <v>75</v>
      </c>
      <c r="AO69" s="98"/>
      <c r="AP69" s="98"/>
      <c r="AQ69" s="98"/>
      <c r="AR69" s="98"/>
      <c r="AS69" s="98"/>
      <c r="AT69" s="97" t="s">
        <v>76</v>
      </c>
      <c r="AU69" s="98"/>
      <c r="AV69" s="98"/>
      <c r="AW69" s="98"/>
      <c r="AX69" s="98"/>
      <c r="AY69" s="98"/>
      <c r="AZ69" s="97" t="s">
        <v>77</v>
      </c>
      <c r="BA69" s="98"/>
      <c r="BB69" s="98"/>
      <c r="BC69" s="98"/>
      <c r="BD69" s="98"/>
      <c r="BE69" s="98"/>
      <c r="BF69" s="98"/>
      <c r="BG69" s="97" t="s">
        <v>78</v>
      </c>
      <c r="BH69" s="98"/>
      <c r="BI69" s="98"/>
      <c r="BJ69" s="98"/>
      <c r="BK69" s="98"/>
      <c r="BL69" s="98"/>
      <c r="BM69" s="99" t="s">
        <v>79</v>
      </c>
      <c r="BN69" s="100"/>
      <c r="BO69" s="100"/>
      <c r="BP69" s="100"/>
      <c r="BQ69" s="101"/>
      <c r="BR69" s="98" t="s">
        <v>80</v>
      </c>
      <c r="BS69" s="98"/>
    </row>
    <row r="70" spans="1:75" s="8" customFormat="1" ht="12.75" customHeight="1" x14ac:dyDescent="0.25">
      <c r="A70" s="74" t="s">
        <v>91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6"/>
      <c r="P70" s="48" t="s">
        <v>92</v>
      </c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93">
        <v>2.2999999999999998</v>
      </c>
      <c r="AF70" s="93"/>
      <c r="AG70" s="93"/>
      <c r="AH70" s="93"/>
      <c r="AI70" s="94">
        <v>2022</v>
      </c>
      <c r="AJ70" s="95"/>
      <c r="AK70" s="95"/>
      <c r="AL70" s="95"/>
      <c r="AM70" s="5" t="s">
        <v>83</v>
      </c>
      <c r="AN70" s="84"/>
      <c r="AO70" s="85"/>
      <c r="AP70" s="85"/>
      <c r="AQ70" s="85"/>
      <c r="AR70" s="85"/>
      <c r="AS70" s="86"/>
      <c r="AT70" s="84"/>
      <c r="AU70" s="85"/>
      <c r="AV70" s="85"/>
      <c r="AW70" s="85"/>
      <c r="AX70" s="85"/>
      <c r="AY70" s="86"/>
      <c r="AZ70" s="83"/>
      <c r="BA70" s="83"/>
      <c r="BB70" s="83"/>
      <c r="BC70" s="83"/>
      <c r="BD70" s="83"/>
      <c r="BE70" s="83"/>
      <c r="BF70" s="83"/>
      <c r="BG70" s="84"/>
      <c r="BH70" s="85"/>
      <c r="BI70" s="85"/>
      <c r="BJ70" s="85"/>
      <c r="BK70" s="85"/>
      <c r="BL70" s="86"/>
      <c r="BM70" s="282">
        <v>2.1</v>
      </c>
      <c r="BN70" s="283"/>
      <c r="BO70" s="283"/>
      <c r="BP70" s="283"/>
      <c r="BQ70" s="284"/>
      <c r="BR70" s="292">
        <v>2.1</v>
      </c>
      <c r="BS70" s="293"/>
    </row>
    <row r="71" spans="1:75" s="8" customFormat="1" x14ac:dyDescent="0.25">
      <c r="A71" s="77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9"/>
      <c r="P71" s="51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93"/>
      <c r="AF71" s="93"/>
      <c r="AG71" s="93"/>
      <c r="AH71" s="93"/>
      <c r="AI71" s="95"/>
      <c r="AJ71" s="95"/>
      <c r="AK71" s="95"/>
      <c r="AL71" s="95"/>
      <c r="AM71" s="6" t="s">
        <v>84</v>
      </c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68"/>
      <c r="BN71" s="69"/>
      <c r="BO71" s="69"/>
      <c r="BP71" s="69"/>
      <c r="BQ71" s="70"/>
      <c r="BR71" s="92"/>
      <c r="BS71" s="92"/>
      <c r="BW71" s="9"/>
    </row>
    <row r="72" spans="1:75" s="8" customFormat="1" ht="18" customHeight="1" x14ac:dyDescent="0.25">
      <c r="A72" s="74" t="s">
        <v>93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6"/>
      <c r="P72" s="48" t="s">
        <v>88</v>
      </c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93">
        <v>0</v>
      </c>
      <c r="AF72" s="93"/>
      <c r="AG72" s="93"/>
      <c r="AH72" s="93"/>
      <c r="AI72" s="94" t="s">
        <v>94</v>
      </c>
      <c r="AJ72" s="95"/>
      <c r="AK72" s="95"/>
      <c r="AL72" s="95"/>
      <c r="AM72" s="5" t="s">
        <v>83</v>
      </c>
      <c r="AN72" s="84"/>
      <c r="AO72" s="85"/>
      <c r="AP72" s="85"/>
      <c r="AQ72" s="85"/>
      <c r="AR72" s="85"/>
      <c r="AS72" s="86"/>
      <c r="AT72" s="84"/>
      <c r="AU72" s="85"/>
      <c r="AV72" s="85"/>
      <c r="AW72" s="85"/>
      <c r="AX72" s="85"/>
      <c r="AY72" s="86"/>
      <c r="AZ72" s="83"/>
      <c r="BA72" s="83"/>
      <c r="BB72" s="83"/>
      <c r="BC72" s="83"/>
      <c r="BD72" s="83"/>
      <c r="BE72" s="83"/>
      <c r="BF72" s="83"/>
      <c r="BG72" s="84"/>
      <c r="BH72" s="85"/>
      <c r="BI72" s="85"/>
      <c r="BJ72" s="85"/>
      <c r="BK72" s="85"/>
      <c r="BL72" s="86"/>
      <c r="BM72" s="87">
        <v>8</v>
      </c>
      <c r="BN72" s="88"/>
      <c r="BO72" s="88"/>
      <c r="BP72" s="88"/>
      <c r="BQ72" s="89"/>
      <c r="BR72" s="90">
        <v>8</v>
      </c>
      <c r="BS72" s="91"/>
    </row>
    <row r="73" spans="1:75" s="8" customFormat="1" ht="18.75" customHeight="1" x14ac:dyDescent="0.25">
      <c r="A73" s="77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9"/>
      <c r="P73" s="51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93"/>
      <c r="AF73" s="93"/>
      <c r="AG73" s="93"/>
      <c r="AH73" s="93"/>
      <c r="AI73" s="95"/>
      <c r="AJ73" s="95"/>
      <c r="AK73" s="95"/>
      <c r="AL73" s="95"/>
      <c r="AM73" s="6" t="s">
        <v>84</v>
      </c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68"/>
      <c r="BN73" s="69"/>
      <c r="BO73" s="69"/>
      <c r="BP73" s="69"/>
      <c r="BQ73" s="70"/>
      <c r="BR73" s="92"/>
      <c r="BS73" s="92"/>
      <c r="BW73" s="9"/>
    </row>
    <row r="74" spans="1:75" ht="10.9" customHeight="1" x14ac:dyDescent="0.25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</row>
    <row r="75" spans="1:75" ht="10.9" customHeight="1" x14ac:dyDescent="0.25">
      <c r="A75" s="180" t="s">
        <v>95</v>
      </c>
      <c r="B75" s="180"/>
      <c r="C75" s="180"/>
      <c r="D75" s="180"/>
      <c r="E75" s="180"/>
      <c r="F75" s="180"/>
      <c r="G75" s="179" t="s">
        <v>96</v>
      </c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79"/>
      <c r="BM75" s="179"/>
      <c r="BN75" s="179"/>
      <c r="BO75" s="179"/>
      <c r="BP75" s="179"/>
      <c r="BQ75" s="179"/>
      <c r="BR75" s="179"/>
      <c r="BS75" s="179"/>
    </row>
    <row r="76" spans="1:75" ht="10.9" customHeight="1" x14ac:dyDescent="0.25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  <c r="AS76" s="221"/>
      <c r="AT76" s="221"/>
      <c r="AU76" s="221"/>
      <c r="AV76" s="221"/>
      <c r="AW76" s="221"/>
      <c r="AX76" s="221"/>
      <c r="AY76" s="221"/>
      <c r="AZ76" s="221"/>
      <c r="BA76" s="221"/>
      <c r="BB76" s="221"/>
      <c r="BC76" s="221"/>
      <c r="BD76" s="221"/>
      <c r="BE76" s="221"/>
      <c r="BF76" s="221"/>
      <c r="BG76" s="221"/>
      <c r="BH76" s="221"/>
      <c r="BI76" s="221"/>
      <c r="BJ76" s="221"/>
      <c r="BK76" s="221"/>
      <c r="BL76" s="221"/>
      <c r="BM76" s="221"/>
      <c r="BN76" s="221"/>
      <c r="BO76" s="221"/>
      <c r="BP76" s="221"/>
      <c r="BQ76" s="221"/>
      <c r="BR76" s="221"/>
      <c r="BS76" s="221"/>
    </row>
    <row r="77" spans="1:75" ht="51.75" customHeight="1" x14ac:dyDescent="0.25">
      <c r="A77" s="98" t="s">
        <v>71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107" t="s">
        <v>72</v>
      </c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9"/>
      <c r="AE77" s="98" t="s">
        <v>73</v>
      </c>
      <c r="AF77" s="98"/>
      <c r="AG77" s="98"/>
      <c r="AH77" s="98"/>
      <c r="AI77" s="98" t="s">
        <v>74</v>
      </c>
      <c r="AJ77" s="98"/>
      <c r="AK77" s="98"/>
      <c r="AL77" s="98"/>
      <c r="AM77" s="4"/>
      <c r="AN77" s="97" t="s">
        <v>75</v>
      </c>
      <c r="AO77" s="98"/>
      <c r="AP77" s="98"/>
      <c r="AQ77" s="98"/>
      <c r="AR77" s="98"/>
      <c r="AS77" s="98"/>
      <c r="AT77" s="97" t="s">
        <v>76</v>
      </c>
      <c r="AU77" s="98"/>
      <c r="AV77" s="98"/>
      <c r="AW77" s="98"/>
      <c r="AX77" s="98"/>
      <c r="AY77" s="98"/>
      <c r="AZ77" s="97" t="s">
        <v>77</v>
      </c>
      <c r="BA77" s="98"/>
      <c r="BB77" s="98"/>
      <c r="BC77" s="98"/>
      <c r="BD77" s="98"/>
      <c r="BE77" s="98"/>
      <c r="BF77" s="98"/>
      <c r="BG77" s="97" t="s">
        <v>78</v>
      </c>
      <c r="BH77" s="98"/>
      <c r="BI77" s="98"/>
      <c r="BJ77" s="98"/>
      <c r="BK77" s="98"/>
      <c r="BL77" s="98"/>
      <c r="BM77" s="99" t="s">
        <v>79</v>
      </c>
      <c r="BN77" s="100"/>
      <c r="BO77" s="100"/>
      <c r="BP77" s="100"/>
      <c r="BQ77" s="101"/>
      <c r="BR77" s="98" t="s">
        <v>80</v>
      </c>
      <c r="BS77" s="98"/>
    </row>
    <row r="78" spans="1:75" s="8" customFormat="1" x14ac:dyDescent="0.25">
      <c r="A78" s="74" t="s">
        <v>97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48" t="s">
        <v>88</v>
      </c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96">
        <v>74</v>
      </c>
      <c r="AF78" s="96"/>
      <c r="AG78" s="96"/>
      <c r="AH78" s="96"/>
      <c r="AI78" s="94">
        <v>2022</v>
      </c>
      <c r="AJ78" s="95"/>
      <c r="AK78" s="95"/>
      <c r="AL78" s="95"/>
      <c r="AM78" s="5" t="s">
        <v>83</v>
      </c>
      <c r="AN78" s="84"/>
      <c r="AO78" s="85"/>
      <c r="AP78" s="85"/>
      <c r="AQ78" s="85"/>
      <c r="AR78" s="85"/>
      <c r="AS78" s="86"/>
      <c r="AT78" s="84"/>
      <c r="AU78" s="85"/>
      <c r="AV78" s="85"/>
      <c r="AW78" s="85"/>
      <c r="AX78" s="85"/>
      <c r="AY78" s="86"/>
      <c r="AZ78" s="83"/>
      <c r="BA78" s="83"/>
      <c r="BB78" s="83"/>
      <c r="BC78" s="83"/>
      <c r="BD78" s="83"/>
      <c r="BE78" s="83"/>
      <c r="BF78" s="83"/>
      <c r="BG78" s="84"/>
      <c r="BH78" s="85"/>
      <c r="BI78" s="85"/>
      <c r="BJ78" s="85"/>
      <c r="BK78" s="85"/>
      <c r="BL78" s="86"/>
      <c r="BM78" s="87">
        <v>90</v>
      </c>
      <c r="BN78" s="88"/>
      <c r="BO78" s="88"/>
      <c r="BP78" s="88"/>
      <c r="BQ78" s="89"/>
      <c r="BR78" s="90">
        <v>90</v>
      </c>
      <c r="BS78" s="91"/>
    </row>
    <row r="79" spans="1:75" s="8" customFormat="1" x14ac:dyDescent="0.25">
      <c r="A79" s="77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9"/>
      <c r="P79" s="51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3"/>
      <c r="AE79" s="96"/>
      <c r="AF79" s="96"/>
      <c r="AG79" s="96"/>
      <c r="AH79" s="96"/>
      <c r="AI79" s="95"/>
      <c r="AJ79" s="95"/>
      <c r="AK79" s="95"/>
      <c r="AL79" s="95"/>
      <c r="AM79" s="6" t="s">
        <v>84</v>
      </c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68"/>
      <c r="BN79" s="69"/>
      <c r="BO79" s="69"/>
      <c r="BP79" s="69"/>
      <c r="BQ79" s="70"/>
      <c r="BR79" s="92"/>
      <c r="BS79" s="92"/>
      <c r="BW79" s="9"/>
    </row>
    <row r="80" spans="1:75" s="8" customFormat="1" ht="19.5" customHeight="1" x14ac:dyDescent="0.25">
      <c r="A80" s="74" t="s">
        <v>98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6"/>
      <c r="P80" s="48" t="s">
        <v>88</v>
      </c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93">
        <v>0</v>
      </c>
      <c r="AF80" s="93"/>
      <c r="AG80" s="93"/>
      <c r="AH80" s="93"/>
      <c r="AI80" s="94">
        <v>2022</v>
      </c>
      <c r="AJ80" s="95"/>
      <c r="AK80" s="95"/>
      <c r="AL80" s="95"/>
      <c r="AM80" s="5" t="s">
        <v>83</v>
      </c>
      <c r="AN80" s="84"/>
      <c r="AO80" s="85"/>
      <c r="AP80" s="85"/>
      <c r="AQ80" s="85"/>
      <c r="AR80" s="85"/>
      <c r="AS80" s="86"/>
      <c r="AT80" s="84"/>
      <c r="AU80" s="85"/>
      <c r="AV80" s="85"/>
      <c r="AW80" s="85"/>
      <c r="AX80" s="85"/>
      <c r="AY80" s="86"/>
      <c r="AZ80" s="83"/>
      <c r="BA80" s="83"/>
      <c r="BB80" s="83"/>
      <c r="BC80" s="83"/>
      <c r="BD80" s="83"/>
      <c r="BE80" s="83"/>
      <c r="BF80" s="83"/>
      <c r="BG80" s="84"/>
      <c r="BH80" s="85"/>
      <c r="BI80" s="85"/>
      <c r="BJ80" s="85"/>
      <c r="BK80" s="85"/>
      <c r="BL80" s="86"/>
      <c r="BM80" s="87">
        <v>100</v>
      </c>
      <c r="BN80" s="88"/>
      <c r="BO80" s="88"/>
      <c r="BP80" s="88"/>
      <c r="BQ80" s="89"/>
      <c r="BR80" s="90">
        <v>100</v>
      </c>
      <c r="BS80" s="91"/>
    </row>
    <row r="81" spans="1:75" s="8" customFormat="1" ht="18.75" customHeight="1" x14ac:dyDescent="0.25">
      <c r="A81" s="77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9"/>
      <c r="P81" s="51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3"/>
      <c r="AE81" s="93"/>
      <c r="AF81" s="93"/>
      <c r="AG81" s="93"/>
      <c r="AH81" s="93"/>
      <c r="AI81" s="95"/>
      <c r="AJ81" s="95"/>
      <c r="AK81" s="95"/>
      <c r="AL81" s="95"/>
      <c r="AM81" s="6" t="s">
        <v>84</v>
      </c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68"/>
      <c r="BN81" s="69"/>
      <c r="BO81" s="69"/>
      <c r="BP81" s="69"/>
      <c r="BQ81" s="70"/>
      <c r="BR81" s="92"/>
      <c r="BS81" s="92"/>
      <c r="BW81" s="9"/>
    </row>
    <row r="82" spans="1:75" s="8" customFormat="1" ht="12.75" customHeight="1" x14ac:dyDescent="0.25">
      <c r="A82" s="216" t="s">
        <v>99</v>
      </c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86" t="s">
        <v>100</v>
      </c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8"/>
      <c r="AE82" s="217">
        <v>0</v>
      </c>
      <c r="AF82" s="217"/>
      <c r="AG82" s="217"/>
      <c r="AH82" s="217"/>
      <c r="AI82" s="218">
        <v>2022</v>
      </c>
      <c r="AJ82" s="219"/>
      <c r="AK82" s="219"/>
      <c r="AL82" s="219"/>
      <c r="AM82" s="29" t="s">
        <v>83</v>
      </c>
      <c r="AN82" s="220"/>
      <c r="AO82" s="211"/>
      <c r="AP82" s="211"/>
      <c r="AQ82" s="211"/>
      <c r="AR82" s="211"/>
      <c r="AS82" s="212"/>
      <c r="AT82" s="220"/>
      <c r="AU82" s="211"/>
      <c r="AV82" s="211"/>
      <c r="AW82" s="211"/>
      <c r="AX82" s="211"/>
      <c r="AY82" s="212"/>
      <c r="AZ82" s="205"/>
      <c r="BA82" s="205"/>
      <c r="BB82" s="205"/>
      <c r="BC82" s="205"/>
      <c r="BD82" s="205"/>
      <c r="BE82" s="205"/>
      <c r="BF82" s="205"/>
      <c r="BG82" s="210"/>
      <c r="BH82" s="211"/>
      <c r="BI82" s="211"/>
      <c r="BJ82" s="211"/>
      <c r="BK82" s="211"/>
      <c r="BL82" s="212"/>
      <c r="BM82" s="213">
        <v>4</v>
      </c>
      <c r="BN82" s="214"/>
      <c r="BO82" s="214"/>
      <c r="BP82" s="214"/>
      <c r="BQ82" s="215"/>
      <c r="BR82" s="281">
        <v>4</v>
      </c>
      <c r="BS82" s="281"/>
    </row>
    <row r="83" spans="1:75" s="8" customFormat="1" x14ac:dyDescent="0.25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89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1"/>
      <c r="AE83" s="217"/>
      <c r="AF83" s="217"/>
      <c r="AG83" s="217"/>
      <c r="AH83" s="217"/>
      <c r="AI83" s="219"/>
      <c r="AJ83" s="219"/>
      <c r="AK83" s="219"/>
      <c r="AL83" s="219"/>
      <c r="AM83" s="30" t="s">
        <v>84</v>
      </c>
      <c r="AN83" s="206"/>
      <c r="AO83" s="206"/>
      <c r="AP83" s="206"/>
      <c r="AQ83" s="206"/>
      <c r="AR83" s="206"/>
      <c r="AS83" s="206"/>
      <c r="AT83" s="206"/>
      <c r="AU83" s="206"/>
      <c r="AV83" s="206"/>
      <c r="AW83" s="206"/>
      <c r="AX83" s="206"/>
      <c r="AY83" s="206"/>
      <c r="AZ83" s="206"/>
      <c r="BA83" s="206"/>
      <c r="BB83" s="206"/>
      <c r="BC83" s="206"/>
      <c r="BD83" s="206"/>
      <c r="BE83" s="206"/>
      <c r="BF83" s="206"/>
      <c r="BG83" s="206"/>
      <c r="BH83" s="206"/>
      <c r="BI83" s="206"/>
      <c r="BJ83" s="206"/>
      <c r="BK83" s="206"/>
      <c r="BL83" s="206"/>
      <c r="BM83" s="207"/>
      <c r="BN83" s="208"/>
      <c r="BO83" s="208"/>
      <c r="BP83" s="208"/>
      <c r="BQ83" s="209"/>
      <c r="BR83" s="206"/>
      <c r="BS83" s="206"/>
    </row>
    <row r="84" spans="1:75" s="8" customFormat="1" x14ac:dyDescent="0.25">
      <c r="A84" s="216" t="s">
        <v>101</v>
      </c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86" t="s">
        <v>88</v>
      </c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8"/>
      <c r="AE84" s="294">
        <v>21.8</v>
      </c>
      <c r="AF84" s="294"/>
      <c r="AG84" s="294"/>
      <c r="AH84" s="294"/>
      <c r="AI84" s="218">
        <v>2022</v>
      </c>
      <c r="AJ84" s="219"/>
      <c r="AK84" s="219"/>
      <c r="AL84" s="219"/>
      <c r="AM84" s="29" t="s">
        <v>83</v>
      </c>
      <c r="AN84" s="220"/>
      <c r="AO84" s="211"/>
      <c r="AP84" s="211"/>
      <c r="AQ84" s="211"/>
      <c r="AR84" s="211"/>
      <c r="AS84" s="212"/>
      <c r="AT84" s="220"/>
      <c r="AU84" s="211"/>
      <c r="AV84" s="211"/>
      <c r="AW84" s="211"/>
      <c r="AX84" s="211"/>
      <c r="AY84" s="212"/>
      <c r="AZ84" s="205"/>
      <c r="BA84" s="205"/>
      <c r="BB84" s="205"/>
      <c r="BC84" s="205"/>
      <c r="BD84" s="205"/>
      <c r="BE84" s="205"/>
      <c r="BF84" s="205"/>
      <c r="BG84" s="210"/>
      <c r="BH84" s="211"/>
      <c r="BI84" s="211"/>
      <c r="BJ84" s="211"/>
      <c r="BK84" s="211"/>
      <c r="BL84" s="212"/>
      <c r="BM84" s="213">
        <v>25</v>
      </c>
      <c r="BN84" s="214"/>
      <c r="BO84" s="214"/>
      <c r="BP84" s="214"/>
      <c r="BQ84" s="215"/>
      <c r="BR84" s="281">
        <v>25</v>
      </c>
      <c r="BS84" s="281"/>
    </row>
    <row r="85" spans="1:75" s="8" customFormat="1" x14ac:dyDescent="0.25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89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1"/>
      <c r="AE85" s="294"/>
      <c r="AF85" s="294"/>
      <c r="AG85" s="294"/>
      <c r="AH85" s="294"/>
      <c r="AI85" s="219"/>
      <c r="AJ85" s="219"/>
      <c r="AK85" s="219"/>
      <c r="AL85" s="219"/>
      <c r="AM85" s="30" t="s">
        <v>84</v>
      </c>
      <c r="AN85" s="206"/>
      <c r="AO85" s="206"/>
      <c r="AP85" s="206"/>
      <c r="AQ85" s="206"/>
      <c r="AR85" s="206"/>
      <c r="AS85" s="206"/>
      <c r="AT85" s="206"/>
      <c r="AU85" s="206"/>
      <c r="AV85" s="206"/>
      <c r="AW85" s="206"/>
      <c r="AX85" s="206"/>
      <c r="AY85" s="206"/>
      <c r="AZ85" s="206"/>
      <c r="BA85" s="206"/>
      <c r="BB85" s="206"/>
      <c r="BC85" s="206"/>
      <c r="BD85" s="206"/>
      <c r="BE85" s="206"/>
      <c r="BF85" s="206"/>
      <c r="BG85" s="206"/>
      <c r="BH85" s="206"/>
      <c r="BI85" s="206"/>
      <c r="BJ85" s="206"/>
      <c r="BK85" s="206"/>
      <c r="BL85" s="206"/>
      <c r="BM85" s="207"/>
      <c r="BN85" s="208"/>
      <c r="BO85" s="208"/>
      <c r="BP85" s="208"/>
      <c r="BQ85" s="209"/>
      <c r="BR85" s="206"/>
      <c r="BS85" s="206"/>
    </row>
    <row r="86" spans="1:75" ht="10.9" customHeight="1" x14ac:dyDescent="0.25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</row>
    <row r="87" spans="1:75" ht="16" customHeight="1" x14ac:dyDescent="0.25">
      <c r="A87" s="178" t="s">
        <v>102</v>
      </c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178"/>
    </row>
    <row r="88" spans="1:75" ht="10.9" customHeight="1" x14ac:dyDescent="0.25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</row>
    <row r="89" spans="1:75" ht="10.9" customHeight="1" x14ac:dyDescent="0.25">
      <c r="A89" s="180" t="s">
        <v>69</v>
      </c>
      <c r="B89" s="180"/>
      <c r="C89" s="180"/>
      <c r="D89" s="180"/>
      <c r="E89" s="180"/>
      <c r="F89" s="180"/>
      <c r="G89" s="179" t="str">
        <f>+G55</f>
        <v>Mejorar la calidad de la prestación de los servicios de agua potable en el Área Metropolitana de San Salvador</v>
      </c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  <c r="BK89" s="179"/>
      <c r="BL89" s="179"/>
      <c r="BM89" s="179"/>
      <c r="BN89" s="179"/>
      <c r="BO89" s="179"/>
      <c r="BP89" s="179"/>
      <c r="BQ89" s="179"/>
      <c r="BR89" s="179"/>
      <c r="BS89" s="179"/>
    </row>
    <row r="90" spans="1:75" ht="10.9" customHeight="1" x14ac:dyDescent="0.25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</row>
    <row r="91" spans="1:75" ht="22" customHeight="1" x14ac:dyDescent="0.25">
      <c r="A91" s="98" t="s">
        <v>71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 t="s">
        <v>72</v>
      </c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181" t="s">
        <v>103</v>
      </c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 t="s">
        <v>104</v>
      </c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</row>
    <row r="92" spans="1:75" s="8" customFormat="1" ht="38.25" customHeight="1" x14ac:dyDescent="0.25">
      <c r="A92" s="137" t="str">
        <f>+A58</f>
        <v xml:space="preserve">1. Hogares con acceso a agua potable por lo menos de 12 horas al día 7 días a la semana en el área de intervención del programa.  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9"/>
      <c r="Q92" s="129" t="str">
        <f>+P58</f>
        <v>Hogar</v>
      </c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77" t="s">
        <v>105</v>
      </c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9"/>
      <c r="BA92" s="77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9"/>
    </row>
    <row r="93" spans="1:75" ht="10.9" customHeight="1" x14ac:dyDescent="0.25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</row>
    <row r="94" spans="1:75" ht="10.9" customHeight="1" x14ac:dyDescent="0.25">
      <c r="A94" s="180" t="s">
        <v>85</v>
      </c>
      <c r="B94" s="180"/>
      <c r="C94" s="180"/>
      <c r="D94" s="180"/>
      <c r="E94" s="180"/>
      <c r="F94" s="180"/>
      <c r="G94" s="179" t="str">
        <f>+G61</f>
        <v>Reducir los niveles de Agua no Contabilizada (ANC) en el Área Metropolitana de San Salvador</v>
      </c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79"/>
      <c r="BM94" s="179"/>
      <c r="BN94" s="179"/>
      <c r="BO94" s="179"/>
      <c r="BP94" s="179"/>
      <c r="BQ94" s="179"/>
      <c r="BR94" s="179"/>
      <c r="BS94" s="179"/>
    </row>
    <row r="95" spans="1:75" ht="10.9" customHeight="1" x14ac:dyDescent="0.25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  <c r="BQ95" s="136"/>
      <c r="BR95" s="136"/>
      <c r="BS95" s="136"/>
    </row>
    <row r="96" spans="1:75" ht="22" customHeight="1" x14ac:dyDescent="0.25">
      <c r="A96" s="98" t="s">
        <v>71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 t="s">
        <v>72</v>
      </c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181" t="s">
        <v>103</v>
      </c>
      <c r="AG96" s="181"/>
      <c r="AH96" s="181"/>
      <c r="AI96" s="181"/>
      <c r="AJ96" s="181"/>
      <c r="AK96" s="181"/>
      <c r="AL96" s="181"/>
      <c r="AM96" s="181"/>
      <c r="AN96" s="181"/>
      <c r="AO96" s="181"/>
      <c r="AP96" s="181"/>
      <c r="AQ96" s="181"/>
      <c r="AR96" s="181"/>
      <c r="AS96" s="181"/>
      <c r="AT96" s="181"/>
      <c r="AU96" s="181"/>
      <c r="AV96" s="181"/>
      <c r="AW96" s="181"/>
      <c r="AX96" s="181"/>
      <c r="AY96" s="181"/>
      <c r="AZ96" s="181"/>
      <c r="BA96" s="181" t="s">
        <v>104</v>
      </c>
      <c r="BB96" s="181"/>
      <c r="BC96" s="181"/>
      <c r="BD96" s="181"/>
      <c r="BE96" s="181"/>
      <c r="BF96" s="181"/>
      <c r="BG96" s="181"/>
      <c r="BH96" s="181"/>
      <c r="BI96" s="181"/>
      <c r="BJ96" s="181"/>
      <c r="BK96" s="181"/>
      <c r="BL96" s="181"/>
      <c r="BM96" s="181"/>
      <c r="BN96" s="181"/>
      <c r="BO96" s="181"/>
      <c r="BP96" s="181"/>
      <c r="BQ96" s="181"/>
      <c r="BR96" s="181"/>
      <c r="BS96" s="181"/>
    </row>
    <row r="97" spans="1:71" s="8" customFormat="1" ht="36" customHeight="1" x14ac:dyDescent="0.25">
      <c r="A97" s="137" t="str">
        <f>+A64</f>
        <v>2. Índice de Pérdidas de Distribución en el área de intervención del programa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9"/>
      <c r="Q97" s="129" t="str">
        <f>+P64</f>
        <v>%</v>
      </c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77" t="s">
        <v>106</v>
      </c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9"/>
      <c r="BA97" s="77" t="s">
        <v>107</v>
      </c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9"/>
    </row>
    <row r="98" spans="1:71" ht="10.9" customHeight="1" x14ac:dyDescent="0.25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</row>
    <row r="99" spans="1:71" ht="10.9" customHeight="1" x14ac:dyDescent="0.25">
      <c r="A99" s="180" t="s">
        <v>89</v>
      </c>
      <c r="B99" s="180"/>
      <c r="C99" s="180"/>
      <c r="D99" s="180"/>
      <c r="E99" s="180"/>
      <c r="F99" s="180"/>
      <c r="G99" s="179" t="str">
        <f>+G67</f>
        <v xml:space="preserve">Mejorar la eficiencia energética de los sistemas de agua potable en el Área Metropolitana de San Salvador </v>
      </c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179"/>
      <c r="BD99" s="179"/>
      <c r="BE99" s="179"/>
      <c r="BF99" s="179"/>
      <c r="BG99" s="179"/>
      <c r="BH99" s="179"/>
      <c r="BI99" s="179"/>
      <c r="BJ99" s="179"/>
      <c r="BK99" s="179"/>
      <c r="BL99" s="179"/>
      <c r="BM99" s="179"/>
      <c r="BN99" s="179"/>
      <c r="BO99" s="179"/>
      <c r="BP99" s="179"/>
      <c r="BQ99" s="179"/>
      <c r="BR99" s="179"/>
      <c r="BS99" s="179"/>
    </row>
    <row r="100" spans="1:71" ht="10.9" customHeight="1" x14ac:dyDescent="0.25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  <c r="BP100" s="136"/>
      <c r="BQ100" s="136"/>
      <c r="BR100" s="136"/>
      <c r="BS100" s="136"/>
    </row>
    <row r="101" spans="1:71" ht="22" customHeight="1" x14ac:dyDescent="0.25">
      <c r="A101" s="98" t="s">
        <v>71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 t="s">
        <v>72</v>
      </c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181" t="s">
        <v>103</v>
      </c>
      <c r="AG101" s="181"/>
      <c r="AH101" s="181"/>
      <c r="AI101" s="181"/>
      <c r="AJ101" s="181"/>
      <c r="AK101" s="181"/>
      <c r="AL101" s="181"/>
      <c r="AM101" s="181"/>
      <c r="AN101" s="181"/>
      <c r="AO101" s="181"/>
      <c r="AP101" s="181"/>
      <c r="AQ101" s="181"/>
      <c r="AR101" s="181"/>
      <c r="AS101" s="181"/>
      <c r="AT101" s="181"/>
      <c r="AU101" s="181"/>
      <c r="AV101" s="181"/>
      <c r="AW101" s="181"/>
      <c r="AX101" s="181"/>
      <c r="AY101" s="181"/>
      <c r="AZ101" s="181"/>
      <c r="BA101" s="181" t="s">
        <v>104</v>
      </c>
      <c r="BB101" s="181"/>
      <c r="BC101" s="181"/>
      <c r="BD101" s="181"/>
      <c r="BE101" s="181"/>
      <c r="BF101" s="181"/>
      <c r="BG101" s="181"/>
      <c r="BH101" s="181"/>
      <c r="BI101" s="181"/>
      <c r="BJ101" s="181"/>
      <c r="BK101" s="181"/>
      <c r="BL101" s="181"/>
      <c r="BM101" s="181"/>
      <c r="BN101" s="181"/>
      <c r="BO101" s="181"/>
      <c r="BP101" s="181"/>
      <c r="BQ101" s="181"/>
      <c r="BR101" s="181"/>
      <c r="BS101" s="181"/>
    </row>
    <row r="102" spans="1:71" s="8" customFormat="1" ht="32.25" customHeight="1" x14ac:dyDescent="0.25">
      <c r="A102" s="137" t="str">
        <f>+A70</f>
        <v>3. Consumo de energía por metro cúbico de agua producido en el área de intervención del programa</v>
      </c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9"/>
      <c r="Q102" s="129" t="str">
        <f>+P70</f>
        <v>kWh/m3</v>
      </c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77" t="s">
        <v>106</v>
      </c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9"/>
      <c r="BA102" s="77" t="s">
        <v>108</v>
      </c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9"/>
    </row>
    <row r="103" spans="1:71" ht="10.9" customHeight="1" x14ac:dyDescent="0.25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  <c r="BP103" s="136"/>
      <c r="BQ103" s="136"/>
      <c r="BR103" s="136"/>
      <c r="BS103" s="136"/>
    </row>
    <row r="104" spans="1:71" ht="10.9" customHeight="1" x14ac:dyDescent="0.25">
      <c r="A104" s="180" t="s">
        <v>95</v>
      </c>
      <c r="B104" s="180"/>
      <c r="C104" s="180"/>
      <c r="D104" s="180"/>
      <c r="E104" s="180"/>
      <c r="F104" s="180"/>
      <c r="G104" s="179" t="str">
        <f>+G75</f>
        <v>Mejorar la gestión empresarial de ANDA</v>
      </c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179"/>
      <c r="BL104" s="179"/>
      <c r="BM104" s="179"/>
      <c r="BN104" s="179"/>
      <c r="BO104" s="179"/>
      <c r="BP104" s="179"/>
      <c r="BQ104" s="179"/>
      <c r="BR104" s="179"/>
      <c r="BS104" s="179"/>
    </row>
    <row r="105" spans="1:71" ht="10.9" customHeight="1" x14ac:dyDescent="0.2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  <c r="BQ105" s="136"/>
      <c r="BR105" s="136"/>
      <c r="BS105" s="136"/>
    </row>
    <row r="106" spans="1:71" ht="22" customHeight="1" x14ac:dyDescent="0.25">
      <c r="A106" s="98" t="s">
        <v>71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 t="s">
        <v>72</v>
      </c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181" t="s">
        <v>103</v>
      </c>
      <c r="AG106" s="181"/>
      <c r="AH106" s="181"/>
      <c r="AI106" s="181"/>
      <c r="AJ106" s="181"/>
      <c r="AK106" s="181"/>
      <c r="AL106" s="181"/>
      <c r="AM106" s="181"/>
      <c r="AN106" s="181"/>
      <c r="AO106" s="181"/>
      <c r="AP106" s="181"/>
      <c r="AQ106" s="181"/>
      <c r="AR106" s="181"/>
      <c r="AS106" s="181"/>
      <c r="AT106" s="181"/>
      <c r="AU106" s="181"/>
      <c r="AV106" s="181"/>
      <c r="AW106" s="181"/>
      <c r="AX106" s="181"/>
      <c r="AY106" s="181"/>
      <c r="AZ106" s="181"/>
      <c r="BA106" s="181" t="s">
        <v>104</v>
      </c>
      <c r="BB106" s="181"/>
      <c r="BC106" s="181"/>
      <c r="BD106" s="181"/>
      <c r="BE106" s="181"/>
      <c r="BF106" s="181"/>
      <c r="BG106" s="181"/>
      <c r="BH106" s="181"/>
      <c r="BI106" s="181"/>
      <c r="BJ106" s="181"/>
      <c r="BK106" s="181"/>
      <c r="BL106" s="181"/>
      <c r="BM106" s="181"/>
      <c r="BN106" s="181"/>
      <c r="BO106" s="181"/>
      <c r="BP106" s="181"/>
      <c r="BQ106" s="181"/>
      <c r="BR106" s="181"/>
      <c r="BS106" s="181"/>
    </row>
    <row r="107" spans="1:71" s="8" customFormat="1" ht="32.25" customHeight="1" x14ac:dyDescent="0.25">
      <c r="A107" s="137" t="str">
        <f>+A78</f>
        <v>5. Ingresos operativos (tarifas) anuales / costos operativos anuales</v>
      </c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9"/>
      <c r="Q107" s="129" t="str">
        <f>+P78</f>
        <v>%</v>
      </c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1"/>
      <c r="AF107" s="77" t="s">
        <v>109</v>
      </c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9"/>
      <c r="BA107" s="77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9"/>
    </row>
    <row r="108" spans="1:71" s="8" customFormat="1" ht="45" customHeight="1" x14ac:dyDescent="0.25">
      <c r="A108" s="137" t="str">
        <f>+A80</f>
        <v>6. Proyectos de inversión de AyS priorizados por ANDA para el AMS que siguen las directrices del plan maestro de AyS</v>
      </c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9"/>
      <c r="Q108" s="129" t="str">
        <f>+P80</f>
        <v>%</v>
      </c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1"/>
      <c r="AF108" s="137" t="s">
        <v>110</v>
      </c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  <c r="AU108" s="138"/>
      <c r="AV108" s="138"/>
      <c r="AW108" s="138"/>
      <c r="AX108" s="138"/>
      <c r="AY108" s="138"/>
      <c r="AZ108" s="139"/>
      <c r="BA108" s="137"/>
      <c r="BB108" s="138"/>
      <c r="BC108" s="138"/>
      <c r="BD108" s="138"/>
      <c r="BE108" s="138"/>
      <c r="BF108" s="138"/>
      <c r="BG108" s="138"/>
      <c r="BH108" s="138"/>
      <c r="BI108" s="138"/>
      <c r="BJ108" s="138"/>
      <c r="BK108" s="138"/>
      <c r="BL108" s="138"/>
      <c r="BM108" s="138"/>
      <c r="BN108" s="138"/>
      <c r="BO108" s="138"/>
      <c r="BP108" s="138"/>
      <c r="BQ108" s="138"/>
      <c r="BR108" s="138"/>
      <c r="BS108" s="139"/>
    </row>
    <row r="109" spans="1:71" s="8" customFormat="1" ht="30" customHeight="1" x14ac:dyDescent="0.25">
      <c r="A109" s="137" t="str">
        <f>+A82</f>
        <v>7. Procesos de ANDA automatizados e integrados (Financiero, Comercial, RRHH y Compras)</v>
      </c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9"/>
      <c r="Q109" s="129" t="str">
        <f>+P82</f>
        <v>proceso</v>
      </c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77" t="s">
        <v>111</v>
      </c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9"/>
      <c r="BA109" s="77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9"/>
    </row>
    <row r="110" spans="1:71" s="8" customFormat="1" ht="19.5" customHeight="1" x14ac:dyDescent="0.25">
      <c r="A110" s="137" t="str">
        <f>+A84</f>
        <v>8. % de mujeres empleadas en ANDA</v>
      </c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9"/>
      <c r="Q110" s="129" t="str">
        <f>+P84</f>
        <v>%</v>
      </c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77" t="s">
        <v>106</v>
      </c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9"/>
      <c r="BA110" s="77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9"/>
    </row>
    <row r="111" spans="1:71" ht="10.9" customHeight="1" x14ac:dyDescent="0.25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</row>
    <row r="112" spans="1:71" ht="16" customHeight="1" x14ac:dyDescent="0.25">
      <c r="A112" s="275" t="s">
        <v>112</v>
      </c>
      <c r="B112" s="276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  <c r="AG112" s="276"/>
      <c r="AH112" s="276"/>
      <c r="AI112" s="276"/>
      <c r="AJ112" s="276"/>
      <c r="AK112" s="276"/>
      <c r="AL112" s="276"/>
      <c r="AM112" s="276"/>
      <c r="AN112" s="276"/>
      <c r="AO112" s="276"/>
      <c r="AP112" s="276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6"/>
      <c r="BC112" s="276"/>
      <c r="BD112" s="276"/>
      <c r="BE112" s="276"/>
      <c r="BF112" s="276"/>
      <c r="BG112" s="276"/>
      <c r="BH112" s="276"/>
      <c r="BI112" s="276"/>
      <c r="BJ112" s="276"/>
      <c r="BK112" s="276"/>
      <c r="BL112" s="276"/>
      <c r="BM112" s="276"/>
      <c r="BN112" s="276"/>
      <c r="BO112" s="276"/>
      <c r="BP112" s="276"/>
      <c r="BQ112" s="276"/>
      <c r="BR112" s="276"/>
      <c r="BS112" s="277"/>
    </row>
    <row r="113" spans="1:71" ht="10.9" customHeight="1" x14ac:dyDescent="0.25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  <c r="AT113" s="201"/>
      <c r="AU113" s="201"/>
      <c r="AV113" s="201"/>
      <c r="AW113" s="201"/>
      <c r="AX113" s="201"/>
      <c r="AY113" s="201"/>
      <c r="AZ113" s="201"/>
      <c r="BA113" s="201"/>
      <c r="BB113" s="201"/>
      <c r="BC113" s="201"/>
      <c r="BD113" s="201"/>
      <c r="BE113" s="201"/>
      <c r="BF113" s="201"/>
      <c r="BG113" s="201"/>
      <c r="BH113" s="201"/>
      <c r="BI113" s="201"/>
      <c r="BJ113" s="201"/>
      <c r="BK113" s="201"/>
      <c r="BL113" s="201"/>
      <c r="BM113" s="201"/>
      <c r="BN113" s="201"/>
      <c r="BO113" s="201"/>
      <c r="BP113" s="201"/>
      <c r="BQ113" s="201"/>
      <c r="BR113" s="201"/>
      <c r="BS113" s="201"/>
    </row>
    <row r="114" spans="1:71" ht="22" customHeight="1" x14ac:dyDescent="0.25">
      <c r="A114" s="107" t="s">
        <v>113</v>
      </c>
      <c r="B114" s="108"/>
      <c r="C114" s="108"/>
      <c r="D114" s="108"/>
      <c r="E114" s="108"/>
      <c r="F114" s="108"/>
      <c r="G114" s="108"/>
      <c r="H114" s="108"/>
      <c r="I114" s="108"/>
      <c r="J114" s="109"/>
      <c r="K114" s="107" t="s">
        <v>72</v>
      </c>
      <c r="L114" s="108"/>
      <c r="M114" s="108"/>
      <c r="N114" s="108"/>
      <c r="O114" s="108"/>
      <c r="P114" s="108"/>
      <c r="Q114" s="108"/>
      <c r="R114" s="108"/>
      <c r="S114" s="108"/>
      <c r="T114" s="109"/>
      <c r="U114" s="107"/>
      <c r="V114" s="109"/>
      <c r="W114" s="107"/>
      <c r="X114" s="109"/>
      <c r="Y114" s="107" t="s">
        <v>114</v>
      </c>
      <c r="Z114" s="108"/>
      <c r="AA114" s="108"/>
      <c r="AB114" s="108"/>
      <c r="AC114" s="108"/>
      <c r="AD114" s="109"/>
      <c r="AE114" s="99" t="s">
        <v>75</v>
      </c>
      <c r="AF114" s="100"/>
      <c r="AG114" s="100"/>
      <c r="AH114" s="100"/>
      <c r="AI114" s="100"/>
      <c r="AJ114" s="101"/>
      <c r="AK114" s="99" t="s">
        <v>76</v>
      </c>
      <c r="AL114" s="100"/>
      <c r="AM114" s="100"/>
      <c r="AN114" s="100"/>
      <c r="AO114" s="100"/>
      <c r="AP114" s="100"/>
      <c r="AQ114" s="101"/>
      <c r="AR114" s="99" t="s">
        <v>77</v>
      </c>
      <c r="AS114" s="100"/>
      <c r="AT114" s="100"/>
      <c r="AU114" s="100"/>
      <c r="AV114" s="101"/>
      <c r="AW114" s="99" t="s">
        <v>78</v>
      </c>
      <c r="AX114" s="100"/>
      <c r="AY114" s="100"/>
      <c r="AZ114" s="100"/>
      <c r="BA114" s="100"/>
      <c r="BB114" s="100"/>
      <c r="BC114" s="100"/>
      <c r="BD114" s="101"/>
      <c r="BE114" s="99" t="s">
        <v>79</v>
      </c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1"/>
      <c r="BR114" s="107" t="s">
        <v>115</v>
      </c>
      <c r="BS114" s="109"/>
    </row>
    <row r="115" spans="1:71" ht="10.9" customHeight="1" x14ac:dyDescent="0.25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201"/>
      <c r="AZ115" s="201"/>
      <c r="BA115" s="201"/>
      <c r="BB115" s="201"/>
      <c r="BC115" s="201"/>
      <c r="BD115" s="201"/>
      <c r="BE115" s="201"/>
      <c r="BF115" s="201"/>
      <c r="BG115" s="201"/>
      <c r="BH115" s="201"/>
      <c r="BI115" s="201"/>
      <c r="BJ115" s="201"/>
      <c r="BK115" s="201"/>
      <c r="BL115" s="201"/>
      <c r="BM115" s="201"/>
      <c r="BN115" s="201"/>
      <c r="BO115" s="201"/>
      <c r="BP115" s="201"/>
      <c r="BQ115" s="201"/>
      <c r="BR115" s="201"/>
      <c r="BS115" s="201"/>
    </row>
    <row r="116" spans="1:71" s="8" customFormat="1" ht="13.5" customHeight="1" x14ac:dyDescent="0.25">
      <c r="A116" s="295" t="s">
        <v>116</v>
      </c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  <c r="BO116" s="296"/>
      <c r="BP116" s="296"/>
      <c r="BQ116" s="296"/>
      <c r="BR116" s="296"/>
      <c r="BS116" s="297"/>
    </row>
    <row r="117" spans="1:71" s="16" customFormat="1" ht="19.5" customHeight="1" x14ac:dyDescent="0.25">
      <c r="A117" s="128" t="s">
        <v>117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95" t="s">
        <v>118</v>
      </c>
      <c r="L117" s="95"/>
      <c r="M117" s="95"/>
      <c r="N117" s="95"/>
      <c r="O117" s="95"/>
      <c r="P117" s="95"/>
      <c r="Q117" s="95"/>
      <c r="R117" s="95"/>
      <c r="S117" s="95"/>
      <c r="T117" s="95"/>
      <c r="U117" s="133"/>
      <c r="V117" s="133"/>
      <c r="W117" s="54" t="s">
        <v>83</v>
      </c>
      <c r="X117" s="55"/>
      <c r="Y117" s="58"/>
      <c r="Z117" s="59"/>
      <c r="AA117" s="59"/>
      <c r="AB117" s="59"/>
      <c r="AC117" s="59"/>
      <c r="AD117" s="60"/>
      <c r="AE117" s="58"/>
      <c r="AF117" s="59"/>
      <c r="AG117" s="59"/>
      <c r="AH117" s="59"/>
      <c r="AI117" s="59"/>
      <c r="AJ117" s="60"/>
      <c r="AK117" s="61"/>
      <c r="AL117" s="62"/>
      <c r="AM117" s="62"/>
      <c r="AN117" s="62"/>
      <c r="AO117" s="62"/>
      <c r="AP117" s="62"/>
      <c r="AQ117" s="63"/>
      <c r="AR117" s="256">
        <v>1</v>
      </c>
      <c r="AS117" s="259"/>
      <c r="AT117" s="259"/>
      <c r="AU117" s="259"/>
      <c r="AV117" s="259"/>
      <c r="AW117" s="64"/>
      <c r="AX117" s="65"/>
      <c r="AY117" s="65"/>
      <c r="AZ117" s="65"/>
      <c r="BA117" s="65"/>
      <c r="BB117" s="65"/>
      <c r="BC117" s="65"/>
      <c r="BD117" s="66"/>
      <c r="BE117" s="64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6"/>
      <c r="BR117" s="256">
        <f>SUM(Y117:BQ117)</f>
        <v>1</v>
      </c>
      <c r="BS117" s="257"/>
    </row>
    <row r="118" spans="1:71" s="16" customFormat="1" ht="15" customHeight="1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134"/>
      <c r="V118" s="134"/>
      <c r="W118" s="135" t="s">
        <v>84</v>
      </c>
      <c r="X118" s="135"/>
      <c r="Y118" s="253"/>
      <c r="Z118" s="254"/>
      <c r="AA118" s="254"/>
      <c r="AB118" s="254"/>
      <c r="AC118" s="254"/>
      <c r="AD118" s="255"/>
      <c r="AE118" s="258"/>
      <c r="AF118" s="258"/>
      <c r="AG118" s="258"/>
      <c r="AH118" s="258"/>
      <c r="AI118" s="258"/>
      <c r="AJ118" s="258"/>
      <c r="AK118" s="258"/>
      <c r="AL118" s="258"/>
      <c r="AM118" s="258"/>
      <c r="AN118" s="258"/>
      <c r="AO118" s="258"/>
      <c r="AP118" s="258"/>
      <c r="AQ118" s="258"/>
      <c r="AR118" s="116"/>
      <c r="AS118" s="258"/>
      <c r="AT118" s="258"/>
      <c r="AU118" s="258"/>
      <c r="AV118" s="258"/>
      <c r="AW118" s="258"/>
      <c r="AX118" s="258"/>
      <c r="AY118" s="258"/>
      <c r="AZ118" s="258"/>
      <c r="BA118" s="258"/>
      <c r="BB118" s="258"/>
      <c r="BC118" s="258"/>
      <c r="BD118" s="258"/>
      <c r="BE118" s="102"/>
      <c r="BF118" s="274"/>
      <c r="BG118" s="274"/>
      <c r="BH118" s="274"/>
      <c r="BI118" s="274"/>
      <c r="BJ118" s="274"/>
      <c r="BK118" s="274"/>
      <c r="BL118" s="274"/>
      <c r="BM118" s="274"/>
      <c r="BN118" s="274"/>
      <c r="BO118" s="274"/>
      <c r="BP118" s="274"/>
      <c r="BQ118" s="103"/>
      <c r="BR118" s="258"/>
      <c r="BS118" s="258"/>
    </row>
    <row r="119" spans="1:71" s="16" customFormat="1" ht="18" customHeight="1" x14ac:dyDescent="0.25">
      <c r="A119" s="74" t="s">
        <v>119</v>
      </c>
      <c r="B119" s="75"/>
      <c r="C119" s="75"/>
      <c r="D119" s="75"/>
      <c r="E119" s="75"/>
      <c r="F119" s="75"/>
      <c r="G119" s="75"/>
      <c r="H119" s="75"/>
      <c r="I119" s="75"/>
      <c r="J119" s="76"/>
      <c r="K119" s="48" t="s">
        <v>120</v>
      </c>
      <c r="L119" s="49"/>
      <c r="M119" s="49"/>
      <c r="N119" s="49"/>
      <c r="O119" s="49"/>
      <c r="P119" s="49"/>
      <c r="Q119" s="49"/>
      <c r="R119" s="49"/>
      <c r="S119" s="49"/>
      <c r="T119" s="50"/>
      <c r="U119" s="54"/>
      <c r="V119" s="55"/>
      <c r="W119" s="54" t="s">
        <v>83</v>
      </c>
      <c r="X119" s="55"/>
      <c r="Y119" s="58"/>
      <c r="Z119" s="59"/>
      <c r="AA119" s="59"/>
      <c r="AB119" s="59"/>
      <c r="AC119" s="59"/>
      <c r="AD119" s="60"/>
      <c r="AE119" s="58"/>
      <c r="AF119" s="59"/>
      <c r="AG119" s="59"/>
      <c r="AH119" s="59"/>
      <c r="AI119" s="59"/>
      <c r="AJ119" s="60"/>
      <c r="AK119" s="61">
        <v>50000</v>
      </c>
      <c r="AL119" s="62"/>
      <c r="AM119" s="62"/>
      <c r="AN119" s="62"/>
      <c r="AO119" s="62"/>
      <c r="AP119" s="62"/>
      <c r="AQ119" s="63"/>
      <c r="AR119" s="64">
        <v>75000</v>
      </c>
      <c r="AS119" s="65"/>
      <c r="AT119" s="65"/>
      <c r="AU119" s="65"/>
      <c r="AV119" s="65"/>
      <c r="AW119" s="64">
        <v>75000</v>
      </c>
      <c r="AX119" s="65"/>
      <c r="AY119" s="65"/>
      <c r="AZ119" s="65"/>
      <c r="BA119" s="65"/>
      <c r="BB119" s="65"/>
      <c r="BC119" s="65"/>
      <c r="BD119" s="66"/>
      <c r="BE119" s="64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6"/>
      <c r="BR119" s="256">
        <f>SUM(Y119:BQ119)</f>
        <v>200000</v>
      </c>
      <c r="BS119" s="257"/>
    </row>
    <row r="120" spans="1:71" s="16" customFormat="1" ht="18" customHeight="1" x14ac:dyDescent="0.25">
      <c r="A120" s="77"/>
      <c r="B120" s="78"/>
      <c r="C120" s="78"/>
      <c r="D120" s="78"/>
      <c r="E120" s="78"/>
      <c r="F120" s="78"/>
      <c r="G120" s="78"/>
      <c r="H120" s="78"/>
      <c r="I120" s="78"/>
      <c r="J120" s="79"/>
      <c r="K120" s="51"/>
      <c r="L120" s="52"/>
      <c r="M120" s="52"/>
      <c r="N120" s="52"/>
      <c r="O120" s="52"/>
      <c r="P120" s="52"/>
      <c r="Q120" s="52"/>
      <c r="R120" s="52"/>
      <c r="S120" s="52"/>
      <c r="T120" s="53"/>
      <c r="U120" s="56"/>
      <c r="V120" s="57"/>
      <c r="W120" s="102" t="s">
        <v>84</v>
      </c>
      <c r="X120" s="103"/>
      <c r="Y120" s="24"/>
      <c r="Z120" s="24"/>
      <c r="AA120" s="24"/>
      <c r="AB120" s="24"/>
      <c r="AC120" s="24"/>
      <c r="AD120" s="24"/>
      <c r="AE120" s="202"/>
      <c r="AF120" s="203"/>
      <c r="AG120" s="203"/>
      <c r="AH120" s="203"/>
      <c r="AI120" s="203"/>
      <c r="AJ120" s="204"/>
      <c r="AK120" s="298"/>
      <c r="AL120" s="299"/>
      <c r="AM120" s="299"/>
      <c r="AN120" s="299"/>
      <c r="AO120" s="299"/>
      <c r="AP120" s="299"/>
      <c r="AQ120" s="300"/>
      <c r="AR120" s="298"/>
      <c r="AS120" s="299"/>
      <c r="AT120" s="299"/>
      <c r="AU120" s="299"/>
      <c r="AV120" s="300"/>
      <c r="AW120" s="202"/>
      <c r="AX120" s="203"/>
      <c r="AY120" s="203"/>
      <c r="AZ120" s="203"/>
      <c r="BA120" s="203"/>
      <c r="BB120" s="203"/>
      <c r="BC120" s="203"/>
      <c r="BD120" s="204"/>
      <c r="BE120" s="102"/>
      <c r="BF120" s="274"/>
      <c r="BG120" s="274"/>
      <c r="BH120" s="274"/>
      <c r="BI120" s="274"/>
      <c r="BJ120" s="274"/>
      <c r="BK120" s="274"/>
      <c r="BL120" s="274"/>
      <c r="BM120" s="274"/>
      <c r="BN120" s="274"/>
      <c r="BO120" s="274"/>
      <c r="BP120" s="274"/>
      <c r="BQ120" s="103"/>
      <c r="BR120" s="202"/>
      <c r="BS120" s="204"/>
    </row>
    <row r="121" spans="1:71" s="16" customFormat="1" ht="11.5" x14ac:dyDescent="0.25">
      <c r="A121" s="74" t="s">
        <v>121</v>
      </c>
      <c r="B121" s="75"/>
      <c r="C121" s="75"/>
      <c r="D121" s="75"/>
      <c r="E121" s="75"/>
      <c r="F121" s="75"/>
      <c r="G121" s="75"/>
      <c r="H121" s="75"/>
      <c r="I121" s="75"/>
      <c r="J121" s="76"/>
      <c r="K121" s="48" t="s">
        <v>122</v>
      </c>
      <c r="L121" s="49"/>
      <c r="M121" s="49"/>
      <c r="N121" s="49"/>
      <c r="O121" s="49"/>
      <c r="P121" s="49"/>
      <c r="Q121" s="49"/>
      <c r="R121" s="49"/>
      <c r="S121" s="49"/>
      <c r="T121" s="50"/>
      <c r="U121" s="54"/>
      <c r="V121" s="55"/>
      <c r="W121" s="54" t="s">
        <v>83</v>
      </c>
      <c r="X121" s="55"/>
      <c r="Y121" s="58"/>
      <c r="Z121" s="59"/>
      <c r="AA121" s="59"/>
      <c r="AB121" s="59"/>
      <c r="AC121" s="59"/>
      <c r="AD121" s="60"/>
      <c r="AE121" s="58"/>
      <c r="AF121" s="59"/>
      <c r="AG121" s="59"/>
      <c r="AH121" s="59"/>
      <c r="AI121" s="59"/>
      <c r="AJ121" s="60"/>
      <c r="AK121" s="61">
        <v>1</v>
      </c>
      <c r="AL121" s="62"/>
      <c r="AM121" s="62"/>
      <c r="AN121" s="62"/>
      <c r="AO121" s="62"/>
      <c r="AP121" s="62"/>
      <c r="AQ121" s="63"/>
      <c r="AR121" s="64"/>
      <c r="AS121" s="65"/>
      <c r="AT121" s="65"/>
      <c r="AU121" s="65"/>
      <c r="AV121" s="65"/>
      <c r="AW121" s="64"/>
      <c r="AX121" s="65"/>
      <c r="AY121" s="65"/>
      <c r="AZ121" s="65"/>
      <c r="BA121" s="65"/>
      <c r="BB121" s="65"/>
      <c r="BC121" s="65"/>
      <c r="BD121" s="66"/>
      <c r="BE121" s="64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6"/>
      <c r="BR121" s="64">
        <f>SUM(Y121:BQ121)</f>
        <v>1</v>
      </c>
      <c r="BS121" s="66"/>
    </row>
    <row r="122" spans="1:71" s="16" customFormat="1" ht="11.5" x14ac:dyDescent="0.25">
      <c r="A122" s="77"/>
      <c r="B122" s="78"/>
      <c r="C122" s="78"/>
      <c r="D122" s="78"/>
      <c r="E122" s="78"/>
      <c r="F122" s="78"/>
      <c r="G122" s="78"/>
      <c r="H122" s="78"/>
      <c r="I122" s="78"/>
      <c r="J122" s="79"/>
      <c r="K122" s="51"/>
      <c r="L122" s="52"/>
      <c r="M122" s="52"/>
      <c r="N122" s="52"/>
      <c r="O122" s="52"/>
      <c r="P122" s="52"/>
      <c r="Q122" s="52"/>
      <c r="R122" s="52"/>
      <c r="S122" s="52"/>
      <c r="T122" s="53"/>
      <c r="U122" s="56"/>
      <c r="V122" s="57"/>
      <c r="W122" s="102" t="s">
        <v>84</v>
      </c>
      <c r="X122" s="103"/>
      <c r="Y122" s="28"/>
      <c r="Z122" s="28"/>
      <c r="AA122" s="28"/>
      <c r="AB122" s="28"/>
      <c r="AC122" s="28"/>
      <c r="AD122" s="28"/>
      <c r="AE122" s="68"/>
      <c r="AF122" s="69"/>
      <c r="AG122" s="69"/>
      <c r="AH122" s="69"/>
      <c r="AI122" s="69"/>
      <c r="AJ122" s="70"/>
      <c r="AK122" s="33"/>
      <c r="AL122" s="67"/>
      <c r="AM122" s="67"/>
      <c r="AN122" s="67"/>
      <c r="AO122" s="67"/>
      <c r="AP122" s="67"/>
      <c r="AQ122" s="34"/>
      <c r="AR122" s="33"/>
      <c r="AS122" s="67"/>
      <c r="AT122" s="67"/>
      <c r="AU122" s="67"/>
      <c r="AV122" s="34"/>
      <c r="AW122" s="68"/>
      <c r="AX122" s="69"/>
      <c r="AY122" s="69"/>
      <c r="AZ122" s="69"/>
      <c r="BA122" s="69"/>
      <c r="BB122" s="69"/>
      <c r="BC122" s="69"/>
      <c r="BD122" s="70"/>
      <c r="BE122" s="36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8"/>
      <c r="BR122" s="33"/>
      <c r="BS122" s="34"/>
    </row>
    <row r="123" spans="1:71" s="16" customFormat="1" ht="12" customHeight="1" x14ac:dyDescent="0.25">
      <c r="A123" s="42" t="s">
        <v>123</v>
      </c>
      <c r="B123" s="43"/>
      <c r="C123" s="43"/>
      <c r="D123" s="43"/>
      <c r="E123" s="43"/>
      <c r="F123" s="43"/>
      <c r="G123" s="43"/>
      <c r="H123" s="43"/>
      <c r="I123" s="43"/>
      <c r="J123" s="44"/>
      <c r="K123" s="48" t="s">
        <v>124</v>
      </c>
      <c r="L123" s="49"/>
      <c r="M123" s="49"/>
      <c r="N123" s="49"/>
      <c r="O123" s="49"/>
      <c r="P123" s="49"/>
      <c r="Q123" s="49"/>
      <c r="R123" s="49"/>
      <c r="S123" s="49"/>
      <c r="T123" s="50"/>
      <c r="U123" s="54"/>
      <c r="V123" s="55"/>
      <c r="W123" s="54" t="s">
        <v>83</v>
      </c>
      <c r="X123" s="55"/>
      <c r="Y123" s="58"/>
      <c r="Z123" s="59"/>
      <c r="AA123" s="59"/>
      <c r="AB123" s="59"/>
      <c r="AC123" s="59"/>
      <c r="AD123" s="60"/>
      <c r="AE123" s="58"/>
      <c r="AF123" s="59"/>
      <c r="AG123" s="59"/>
      <c r="AH123" s="59"/>
      <c r="AI123" s="59"/>
      <c r="AJ123" s="60"/>
      <c r="AK123" s="61">
        <v>1</v>
      </c>
      <c r="AL123" s="62"/>
      <c r="AM123" s="62"/>
      <c r="AN123" s="62"/>
      <c r="AO123" s="62"/>
      <c r="AP123" s="62"/>
      <c r="AQ123" s="63"/>
      <c r="AR123" s="64"/>
      <c r="AS123" s="65"/>
      <c r="AT123" s="65"/>
      <c r="AU123" s="65"/>
      <c r="AV123" s="65"/>
      <c r="AW123" s="64"/>
      <c r="AX123" s="65"/>
      <c r="AY123" s="65"/>
      <c r="AZ123" s="65"/>
      <c r="BA123" s="65"/>
      <c r="BB123" s="65"/>
      <c r="BC123" s="65"/>
      <c r="BD123" s="66"/>
      <c r="BE123" s="64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6"/>
      <c r="BR123" s="64">
        <f>SUM(Y123:BQ123)</f>
        <v>1</v>
      </c>
      <c r="BS123" s="66"/>
    </row>
    <row r="124" spans="1:71" s="16" customFormat="1" ht="11.5" x14ac:dyDescent="0.25">
      <c r="A124" s="45"/>
      <c r="B124" s="46"/>
      <c r="C124" s="46"/>
      <c r="D124" s="46"/>
      <c r="E124" s="46"/>
      <c r="F124" s="46"/>
      <c r="G124" s="46"/>
      <c r="H124" s="46"/>
      <c r="I124" s="46"/>
      <c r="J124" s="47"/>
      <c r="K124" s="51"/>
      <c r="L124" s="52"/>
      <c r="M124" s="52"/>
      <c r="N124" s="52"/>
      <c r="O124" s="52"/>
      <c r="P124" s="52"/>
      <c r="Q124" s="52"/>
      <c r="R124" s="52"/>
      <c r="S124" s="52"/>
      <c r="T124" s="53"/>
      <c r="U124" s="56"/>
      <c r="V124" s="57"/>
      <c r="W124" s="102" t="s">
        <v>84</v>
      </c>
      <c r="X124" s="103"/>
      <c r="Y124" s="28"/>
      <c r="Z124" s="28"/>
      <c r="AA124" s="28"/>
      <c r="AB124" s="28"/>
      <c r="AC124" s="28"/>
      <c r="AD124" s="28"/>
      <c r="AE124" s="68"/>
      <c r="AF124" s="69"/>
      <c r="AG124" s="69"/>
      <c r="AH124" s="69"/>
      <c r="AI124" s="69"/>
      <c r="AJ124" s="70"/>
      <c r="AK124" s="33"/>
      <c r="AL124" s="67"/>
      <c r="AM124" s="67"/>
      <c r="AN124" s="67"/>
      <c r="AO124" s="67"/>
      <c r="AP124" s="67"/>
      <c r="AQ124" s="34"/>
      <c r="AR124" s="33"/>
      <c r="AS124" s="67"/>
      <c r="AT124" s="67"/>
      <c r="AU124" s="67"/>
      <c r="AV124" s="34"/>
      <c r="AW124" s="68"/>
      <c r="AX124" s="69"/>
      <c r="AY124" s="69"/>
      <c r="AZ124" s="69"/>
      <c r="BA124" s="69"/>
      <c r="BB124" s="69"/>
      <c r="BC124" s="69"/>
      <c r="BD124" s="70"/>
      <c r="BE124" s="36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8"/>
      <c r="BR124" s="33"/>
      <c r="BS124" s="34"/>
    </row>
    <row r="125" spans="1:71" s="16" customFormat="1" ht="11.5" x14ac:dyDescent="0.25">
      <c r="A125" s="42" t="s">
        <v>125</v>
      </c>
      <c r="B125" s="43"/>
      <c r="C125" s="43"/>
      <c r="D125" s="43"/>
      <c r="E125" s="43"/>
      <c r="F125" s="43"/>
      <c r="G125" s="43"/>
      <c r="H125" s="43"/>
      <c r="I125" s="43"/>
      <c r="J125" s="44"/>
      <c r="K125" s="48" t="s">
        <v>124</v>
      </c>
      <c r="L125" s="49"/>
      <c r="M125" s="49"/>
      <c r="N125" s="49"/>
      <c r="O125" s="49"/>
      <c r="P125" s="49"/>
      <c r="Q125" s="49"/>
      <c r="R125" s="49"/>
      <c r="S125" s="49"/>
      <c r="T125" s="50"/>
      <c r="U125" s="54"/>
      <c r="V125" s="55"/>
      <c r="W125" s="54" t="s">
        <v>83</v>
      </c>
      <c r="X125" s="55"/>
      <c r="Y125" s="58"/>
      <c r="Z125" s="59"/>
      <c r="AA125" s="59"/>
      <c r="AB125" s="59"/>
      <c r="AC125" s="59"/>
      <c r="AD125" s="60"/>
      <c r="AE125" s="58"/>
      <c r="AF125" s="59"/>
      <c r="AG125" s="59"/>
      <c r="AH125" s="59"/>
      <c r="AI125" s="59"/>
      <c r="AJ125" s="60"/>
      <c r="AK125" s="61">
        <v>8</v>
      </c>
      <c r="AL125" s="62"/>
      <c r="AM125" s="62"/>
      <c r="AN125" s="62"/>
      <c r="AO125" s="62"/>
      <c r="AP125" s="62"/>
      <c r="AQ125" s="63"/>
      <c r="AR125" s="64"/>
      <c r="AS125" s="65"/>
      <c r="AT125" s="65"/>
      <c r="AU125" s="65"/>
      <c r="AV125" s="65"/>
      <c r="AW125" s="64"/>
      <c r="AX125" s="65"/>
      <c r="AY125" s="65"/>
      <c r="AZ125" s="65"/>
      <c r="BA125" s="65"/>
      <c r="BB125" s="65"/>
      <c r="BC125" s="65"/>
      <c r="BD125" s="66"/>
      <c r="BE125" s="64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6"/>
      <c r="BR125" s="64">
        <f>SUM(Y125:BQ125)</f>
        <v>8</v>
      </c>
      <c r="BS125" s="66"/>
    </row>
    <row r="126" spans="1:71" s="16" customFormat="1" ht="11.5" x14ac:dyDescent="0.25">
      <c r="A126" s="45"/>
      <c r="B126" s="46"/>
      <c r="C126" s="46"/>
      <c r="D126" s="46"/>
      <c r="E126" s="46"/>
      <c r="F126" s="46"/>
      <c r="G126" s="46"/>
      <c r="H126" s="46"/>
      <c r="I126" s="46"/>
      <c r="J126" s="47"/>
      <c r="K126" s="51"/>
      <c r="L126" s="52"/>
      <c r="M126" s="52"/>
      <c r="N126" s="52"/>
      <c r="O126" s="52"/>
      <c r="P126" s="52"/>
      <c r="Q126" s="52"/>
      <c r="R126" s="52"/>
      <c r="S126" s="52"/>
      <c r="T126" s="53"/>
      <c r="U126" s="56"/>
      <c r="V126" s="57"/>
      <c r="W126" s="102" t="s">
        <v>84</v>
      </c>
      <c r="X126" s="103"/>
      <c r="Y126" s="28"/>
      <c r="Z126" s="28"/>
      <c r="AA126" s="28"/>
      <c r="AB126" s="28"/>
      <c r="AC126" s="28"/>
      <c r="AD126" s="28"/>
      <c r="AE126" s="68"/>
      <c r="AF126" s="69"/>
      <c r="AG126" s="69"/>
      <c r="AH126" s="69"/>
      <c r="AI126" s="69"/>
      <c r="AJ126" s="70"/>
      <c r="AK126" s="33"/>
      <c r="AL126" s="67"/>
      <c r="AM126" s="67"/>
      <c r="AN126" s="67"/>
      <c r="AO126" s="67"/>
      <c r="AP126" s="67"/>
      <c r="AQ126" s="34"/>
      <c r="AR126" s="33"/>
      <c r="AS126" s="67"/>
      <c r="AT126" s="67"/>
      <c r="AU126" s="67"/>
      <c r="AV126" s="34"/>
      <c r="AW126" s="68"/>
      <c r="AX126" s="69"/>
      <c r="AY126" s="69"/>
      <c r="AZ126" s="69"/>
      <c r="BA126" s="69"/>
      <c r="BB126" s="69"/>
      <c r="BC126" s="69"/>
      <c r="BD126" s="70"/>
      <c r="BE126" s="36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8"/>
      <c r="BR126" s="33"/>
      <c r="BS126" s="34"/>
    </row>
    <row r="127" spans="1:71" s="16" customFormat="1" ht="15.75" customHeight="1" x14ac:dyDescent="0.25">
      <c r="A127" s="128" t="s">
        <v>126</v>
      </c>
      <c r="B127" s="128"/>
      <c r="C127" s="128"/>
      <c r="D127" s="128"/>
      <c r="E127" s="128"/>
      <c r="F127" s="128"/>
      <c r="G127" s="128"/>
      <c r="H127" s="128"/>
      <c r="I127" s="128"/>
      <c r="J127" s="128"/>
      <c r="K127" s="95" t="s">
        <v>118</v>
      </c>
      <c r="L127" s="95"/>
      <c r="M127" s="95"/>
      <c r="N127" s="95"/>
      <c r="O127" s="95"/>
      <c r="P127" s="95"/>
      <c r="Q127" s="95"/>
      <c r="R127" s="95"/>
      <c r="S127" s="95"/>
      <c r="T127" s="95"/>
      <c r="U127" s="133"/>
      <c r="V127" s="133"/>
      <c r="W127" s="54" t="s">
        <v>83</v>
      </c>
      <c r="X127" s="55"/>
      <c r="Y127" s="58"/>
      <c r="Z127" s="59"/>
      <c r="AA127" s="59"/>
      <c r="AB127" s="59"/>
      <c r="AC127" s="59"/>
      <c r="AD127" s="60"/>
      <c r="AE127" s="58"/>
      <c r="AF127" s="59"/>
      <c r="AG127" s="59"/>
      <c r="AH127" s="59"/>
      <c r="AI127" s="59"/>
      <c r="AJ127" s="60"/>
      <c r="AK127" s="61"/>
      <c r="AL127" s="62"/>
      <c r="AM127" s="62"/>
      <c r="AN127" s="62"/>
      <c r="AO127" s="62"/>
      <c r="AP127" s="62"/>
      <c r="AQ127" s="63"/>
      <c r="AR127" s="64"/>
      <c r="AS127" s="65"/>
      <c r="AT127" s="65"/>
      <c r="AU127" s="65"/>
      <c r="AV127" s="65"/>
      <c r="AW127" s="256">
        <v>1</v>
      </c>
      <c r="AX127" s="259"/>
      <c r="AY127" s="259"/>
      <c r="AZ127" s="259"/>
      <c r="BA127" s="259"/>
      <c r="BB127" s="259"/>
      <c r="BC127" s="259"/>
      <c r="BD127" s="257"/>
      <c r="BE127" s="256">
        <v>1</v>
      </c>
      <c r="BF127" s="259"/>
      <c r="BG127" s="259"/>
      <c r="BH127" s="259"/>
      <c r="BI127" s="259"/>
      <c r="BJ127" s="259"/>
      <c r="BK127" s="259"/>
      <c r="BL127" s="259"/>
      <c r="BM127" s="259"/>
      <c r="BN127" s="259"/>
      <c r="BO127" s="259"/>
      <c r="BP127" s="259"/>
      <c r="BQ127" s="257"/>
      <c r="BR127" s="256">
        <f>SUM(Y127:BQ127)</f>
        <v>2</v>
      </c>
      <c r="BS127" s="257"/>
    </row>
    <row r="128" spans="1:71" s="16" customFormat="1" ht="19.5" customHeight="1" x14ac:dyDescent="0.2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134"/>
      <c r="V128" s="134"/>
      <c r="W128" s="135" t="s">
        <v>84</v>
      </c>
      <c r="X128" s="135"/>
      <c r="Y128" s="253"/>
      <c r="Z128" s="254"/>
      <c r="AA128" s="254"/>
      <c r="AB128" s="254"/>
      <c r="AC128" s="254"/>
      <c r="AD128" s="255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177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36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8"/>
      <c r="BR128" s="92"/>
      <c r="BS128" s="92"/>
    </row>
    <row r="129" spans="1:71" ht="10.9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  <c r="AT129" s="201"/>
      <c r="AU129" s="201"/>
      <c r="AV129" s="201"/>
      <c r="AW129" s="201"/>
      <c r="AX129" s="201"/>
      <c r="AY129" s="201"/>
      <c r="AZ129" s="201"/>
      <c r="BA129" s="201"/>
      <c r="BB129" s="201"/>
      <c r="BC129" s="201"/>
      <c r="BD129" s="201"/>
      <c r="BE129" s="201"/>
      <c r="BF129" s="201"/>
      <c r="BG129" s="201"/>
      <c r="BH129" s="201"/>
      <c r="BI129" s="201"/>
      <c r="BJ129" s="201"/>
      <c r="BK129" s="201"/>
      <c r="BL129" s="201"/>
      <c r="BM129" s="201"/>
      <c r="BN129" s="201"/>
      <c r="BO129" s="201"/>
      <c r="BP129" s="201"/>
      <c r="BQ129" s="201"/>
      <c r="BR129" s="201"/>
      <c r="BS129" s="201"/>
    </row>
    <row r="130" spans="1:71" s="8" customFormat="1" ht="13.5" customHeight="1" x14ac:dyDescent="0.25">
      <c r="A130" s="295" t="s">
        <v>127</v>
      </c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  <c r="BO130" s="296"/>
      <c r="BP130" s="296"/>
      <c r="BQ130" s="296"/>
      <c r="BR130" s="296"/>
      <c r="BS130" s="297"/>
    </row>
    <row r="131" spans="1:71" s="16" customFormat="1" ht="11.5" x14ac:dyDescent="0.25">
      <c r="A131" s="128" t="s">
        <v>128</v>
      </c>
      <c r="B131" s="128"/>
      <c r="C131" s="128"/>
      <c r="D131" s="128"/>
      <c r="E131" s="128"/>
      <c r="F131" s="128"/>
      <c r="G131" s="128"/>
      <c r="H131" s="128"/>
      <c r="I131" s="128"/>
      <c r="J131" s="128"/>
      <c r="K131" s="95" t="s">
        <v>129</v>
      </c>
      <c r="L131" s="95"/>
      <c r="M131" s="95"/>
      <c r="N131" s="95"/>
      <c r="O131" s="95"/>
      <c r="P131" s="95"/>
      <c r="Q131" s="95"/>
      <c r="R131" s="95"/>
      <c r="S131" s="95"/>
      <c r="T131" s="95"/>
      <c r="U131" s="133"/>
      <c r="V131" s="133"/>
      <c r="W131" s="54" t="s">
        <v>83</v>
      </c>
      <c r="X131" s="55"/>
      <c r="Y131" s="58"/>
      <c r="Z131" s="59"/>
      <c r="AA131" s="59"/>
      <c r="AB131" s="59"/>
      <c r="AC131" s="59"/>
      <c r="AD131" s="60"/>
      <c r="AE131" s="58"/>
      <c r="AF131" s="59"/>
      <c r="AG131" s="59"/>
      <c r="AH131" s="59"/>
      <c r="AI131" s="59"/>
      <c r="AJ131" s="60"/>
      <c r="AK131" s="61">
        <v>1</v>
      </c>
      <c r="AL131" s="62"/>
      <c r="AM131" s="62"/>
      <c r="AN131" s="62"/>
      <c r="AO131" s="62"/>
      <c r="AP131" s="62"/>
      <c r="AQ131" s="63"/>
      <c r="AR131" s="64"/>
      <c r="AS131" s="65"/>
      <c r="AT131" s="65"/>
      <c r="AU131" s="65"/>
      <c r="AV131" s="65"/>
      <c r="AW131" s="64"/>
      <c r="AX131" s="65"/>
      <c r="AY131" s="65"/>
      <c r="AZ131" s="65"/>
      <c r="BA131" s="65"/>
      <c r="BB131" s="65"/>
      <c r="BC131" s="65"/>
      <c r="BD131" s="66"/>
      <c r="BE131" s="64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6"/>
      <c r="BR131" s="64">
        <f>SUM(Y131:BQ131)</f>
        <v>1</v>
      </c>
      <c r="BS131" s="66"/>
    </row>
    <row r="132" spans="1:71" s="16" customFormat="1" ht="11.5" x14ac:dyDescent="0.2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134"/>
      <c r="V132" s="134"/>
      <c r="W132" s="135" t="s">
        <v>84</v>
      </c>
      <c r="X132" s="135"/>
      <c r="Y132" s="25"/>
      <c r="Z132" s="26"/>
      <c r="AA132" s="26"/>
      <c r="AB132" s="26"/>
      <c r="AC132" s="26"/>
      <c r="AD132" s="27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177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36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8"/>
      <c r="BR132" s="92"/>
      <c r="BS132" s="92"/>
    </row>
    <row r="133" spans="1:71" s="16" customFormat="1" ht="15" customHeight="1" x14ac:dyDescent="0.25">
      <c r="A133" s="42" t="s">
        <v>130</v>
      </c>
      <c r="B133" s="43"/>
      <c r="C133" s="43"/>
      <c r="D133" s="43"/>
      <c r="E133" s="43"/>
      <c r="F133" s="43"/>
      <c r="G133" s="43"/>
      <c r="H133" s="43"/>
      <c r="I133" s="43"/>
      <c r="J133" s="44"/>
      <c r="K133" s="48" t="s">
        <v>131</v>
      </c>
      <c r="L133" s="49"/>
      <c r="M133" s="49"/>
      <c r="N133" s="49"/>
      <c r="O133" s="49"/>
      <c r="P133" s="49"/>
      <c r="Q133" s="49"/>
      <c r="R133" s="49"/>
      <c r="S133" s="49"/>
      <c r="T133" s="50"/>
      <c r="U133" s="54"/>
      <c r="V133" s="55"/>
      <c r="W133" s="54" t="s">
        <v>83</v>
      </c>
      <c r="X133" s="55"/>
      <c r="Y133" s="58"/>
      <c r="Z133" s="59"/>
      <c r="AA133" s="59"/>
      <c r="AB133" s="59"/>
      <c r="AC133" s="59"/>
      <c r="AD133" s="60"/>
      <c r="AE133" s="58"/>
      <c r="AF133" s="59"/>
      <c r="AG133" s="59"/>
      <c r="AH133" s="59"/>
      <c r="AI133" s="59"/>
      <c r="AJ133" s="60"/>
      <c r="AK133" s="61">
        <v>6</v>
      </c>
      <c r="AL133" s="62"/>
      <c r="AM133" s="62"/>
      <c r="AN133" s="62"/>
      <c r="AO133" s="62"/>
      <c r="AP133" s="62"/>
      <c r="AQ133" s="63"/>
      <c r="AR133" s="64"/>
      <c r="AS133" s="65"/>
      <c r="AT133" s="65"/>
      <c r="AU133" s="65"/>
      <c r="AV133" s="65"/>
      <c r="AW133" s="64"/>
      <c r="AX133" s="65"/>
      <c r="AY133" s="65"/>
      <c r="AZ133" s="65"/>
      <c r="BA133" s="65"/>
      <c r="BB133" s="65"/>
      <c r="BC133" s="65"/>
      <c r="BD133" s="66"/>
      <c r="BE133" s="64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6"/>
      <c r="BR133" s="64">
        <f>SUM(Y133:BQ133)</f>
        <v>6</v>
      </c>
      <c r="BS133" s="66"/>
    </row>
    <row r="134" spans="1:71" s="16" customFormat="1" ht="16.5" customHeight="1" x14ac:dyDescent="0.25">
      <c r="A134" s="45"/>
      <c r="B134" s="46"/>
      <c r="C134" s="46"/>
      <c r="D134" s="46"/>
      <c r="E134" s="46"/>
      <c r="F134" s="46"/>
      <c r="G134" s="46"/>
      <c r="H134" s="46"/>
      <c r="I134" s="46"/>
      <c r="J134" s="47"/>
      <c r="K134" s="51"/>
      <c r="L134" s="52"/>
      <c r="M134" s="52"/>
      <c r="N134" s="52"/>
      <c r="O134" s="52"/>
      <c r="P134" s="52"/>
      <c r="Q134" s="52"/>
      <c r="R134" s="52"/>
      <c r="S134" s="52"/>
      <c r="T134" s="53"/>
      <c r="U134" s="56"/>
      <c r="V134" s="57"/>
      <c r="W134" s="102" t="s">
        <v>84</v>
      </c>
      <c r="X134" s="103"/>
      <c r="Y134" s="28"/>
      <c r="Z134" s="28"/>
      <c r="AA134" s="28"/>
      <c r="AB134" s="28"/>
      <c r="AC134" s="28"/>
      <c r="AD134" s="28"/>
      <c r="AE134" s="68"/>
      <c r="AF134" s="69"/>
      <c r="AG134" s="69"/>
      <c r="AH134" s="69"/>
      <c r="AI134" s="69"/>
      <c r="AJ134" s="70"/>
      <c r="AK134" s="33"/>
      <c r="AL134" s="67"/>
      <c r="AM134" s="67"/>
      <c r="AN134" s="67"/>
      <c r="AO134" s="67"/>
      <c r="AP134" s="67"/>
      <c r="AQ134" s="34"/>
      <c r="AR134" s="33"/>
      <c r="AS134" s="67"/>
      <c r="AT134" s="67"/>
      <c r="AU134" s="67"/>
      <c r="AV134" s="34"/>
      <c r="AW134" s="68"/>
      <c r="AX134" s="69"/>
      <c r="AY134" s="69"/>
      <c r="AZ134" s="69"/>
      <c r="BA134" s="69"/>
      <c r="BB134" s="69"/>
      <c r="BC134" s="69"/>
      <c r="BD134" s="70"/>
      <c r="BE134" s="36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8"/>
      <c r="BR134" s="33"/>
      <c r="BS134" s="34"/>
    </row>
    <row r="135" spans="1:71" s="16" customFormat="1" ht="11.5" x14ac:dyDescent="0.25">
      <c r="A135" s="42" t="s">
        <v>132</v>
      </c>
      <c r="B135" s="43"/>
      <c r="C135" s="43"/>
      <c r="D135" s="43"/>
      <c r="E135" s="43"/>
      <c r="F135" s="43"/>
      <c r="G135" s="43"/>
      <c r="H135" s="43"/>
      <c r="I135" s="43"/>
      <c r="J135" s="44"/>
      <c r="K135" s="48" t="s">
        <v>131</v>
      </c>
      <c r="L135" s="49"/>
      <c r="M135" s="49"/>
      <c r="N135" s="49"/>
      <c r="O135" s="49"/>
      <c r="P135" s="49"/>
      <c r="Q135" s="49"/>
      <c r="R135" s="49"/>
      <c r="S135" s="49"/>
      <c r="T135" s="50"/>
      <c r="U135" s="54"/>
      <c r="V135" s="55"/>
      <c r="W135" s="54" t="s">
        <v>83</v>
      </c>
      <c r="X135" s="55"/>
      <c r="Y135" s="58"/>
      <c r="Z135" s="59"/>
      <c r="AA135" s="59"/>
      <c r="AB135" s="59"/>
      <c r="AC135" s="59"/>
      <c r="AD135" s="60"/>
      <c r="AE135" s="58"/>
      <c r="AF135" s="59"/>
      <c r="AG135" s="59"/>
      <c r="AH135" s="59"/>
      <c r="AI135" s="59"/>
      <c r="AJ135" s="60"/>
      <c r="AK135" s="61">
        <v>14</v>
      </c>
      <c r="AL135" s="62"/>
      <c r="AM135" s="62"/>
      <c r="AN135" s="62"/>
      <c r="AO135" s="62"/>
      <c r="AP135" s="62"/>
      <c r="AQ135" s="63"/>
      <c r="AR135" s="64"/>
      <c r="AS135" s="65"/>
      <c r="AT135" s="65"/>
      <c r="AU135" s="65"/>
      <c r="AV135" s="65"/>
      <c r="AW135" s="64"/>
      <c r="AX135" s="65"/>
      <c r="AY135" s="65"/>
      <c r="AZ135" s="65"/>
      <c r="BA135" s="65"/>
      <c r="BB135" s="65"/>
      <c r="BC135" s="65"/>
      <c r="BD135" s="66"/>
      <c r="BE135" s="64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6"/>
      <c r="BR135" s="64">
        <f>SUM(Y135:BQ135)</f>
        <v>14</v>
      </c>
      <c r="BS135" s="66"/>
    </row>
    <row r="136" spans="1:71" s="16" customFormat="1" ht="11.5" x14ac:dyDescent="0.25">
      <c r="A136" s="45"/>
      <c r="B136" s="46"/>
      <c r="C136" s="46"/>
      <c r="D136" s="46"/>
      <c r="E136" s="46"/>
      <c r="F136" s="46"/>
      <c r="G136" s="46"/>
      <c r="H136" s="46"/>
      <c r="I136" s="46"/>
      <c r="J136" s="47"/>
      <c r="K136" s="51"/>
      <c r="L136" s="52"/>
      <c r="M136" s="52"/>
      <c r="N136" s="52"/>
      <c r="O136" s="52"/>
      <c r="P136" s="52"/>
      <c r="Q136" s="52"/>
      <c r="R136" s="52"/>
      <c r="S136" s="52"/>
      <c r="T136" s="53"/>
      <c r="U136" s="56"/>
      <c r="V136" s="57"/>
      <c r="W136" s="102" t="s">
        <v>84</v>
      </c>
      <c r="X136" s="103"/>
      <c r="Y136" s="28"/>
      <c r="Z136" s="28"/>
      <c r="AA136" s="28"/>
      <c r="AB136" s="28"/>
      <c r="AC136" s="28"/>
      <c r="AD136" s="28"/>
      <c r="AE136" s="68"/>
      <c r="AF136" s="69"/>
      <c r="AG136" s="69"/>
      <c r="AH136" s="69"/>
      <c r="AI136" s="69"/>
      <c r="AJ136" s="70"/>
      <c r="AK136" s="33"/>
      <c r="AL136" s="67"/>
      <c r="AM136" s="67"/>
      <c r="AN136" s="67"/>
      <c r="AO136" s="67"/>
      <c r="AP136" s="67"/>
      <c r="AQ136" s="34"/>
      <c r="AR136" s="33"/>
      <c r="AS136" s="67"/>
      <c r="AT136" s="67"/>
      <c r="AU136" s="67"/>
      <c r="AV136" s="34"/>
      <c r="AW136" s="68"/>
      <c r="AX136" s="69"/>
      <c r="AY136" s="69"/>
      <c r="AZ136" s="69"/>
      <c r="BA136" s="69"/>
      <c r="BB136" s="69"/>
      <c r="BC136" s="69"/>
      <c r="BD136" s="70"/>
      <c r="BE136" s="36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8"/>
      <c r="BR136" s="33"/>
      <c r="BS136" s="34"/>
    </row>
    <row r="137" spans="1:71" s="16" customFormat="1" ht="11.5" x14ac:dyDescent="0.25">
      <c r="A137" s="42" t="s">
        <v>133</v>
      </c>
      <c r="B137" s="43"/>
      <c r="C137" s="43"/>
      <c r="D137" s="43"/>
      <c r="E137" s="43"/>
      <c r="F137" s="43"/>
      <c r="G137" s="43"/>
      <c r="H137" s="43"/>
      <c r="I137" s="43"/>
      <c r="J137" s="44"/>
      <c r="K137" s="48" t="s">
        <v>134</v>
      </c>
      <c r="L137" s="49"/>
      <c r="M137" s="49"/>
      <c r="N137" s="49"/>
      <c r="O137" s="49"/>
      <c r="P137" s="49"/>
      <c r="Q137" s="49"/>
      <c r="R137" s="49"/>
      <c r="S137" s="49"/>
      <c r="T137" s="50"/>
      <c r="U137" s="54"/>
      <c r="V137" s="55"/>
      <c r="W137" s="54" t="s">
        <v>83</v>
      </c>
      <c r="X137" s="55"/>
      <c r="Y137" s="58"/>
      <c r="Z137" s="59"/>
      <c r="AA137" s="59"/>
      <c r="AB137" s="59"/>
      <c r="AC137" s="59"/>
      <c r="AD137" s="60"/>
      <c r="AE137" s="58"/>
      <c r="AF137" s="59"/>
      <c r="AG137" s="59"/>
      <c r="AH137" s="59"/>
      <c r="AI137" s="59"/>
      <c r="AJ137" s="60"/>
      <c r="AK137" s="61">
        <v>1</v>
      </c>
      <c r="AL137" s="62"/>
      <c r="AM137" s="62"/>
      <c r="AN137" s="62"/>
      <c r="AO137" s="62"/>
      <c r="AP137" s="62"/>
      <c r="AQ137" s="63"/>
      <c r="AR137" s="64"/>
      <c r="AS137" s="65"/>
      <c r="AT137" s="65"/>
      <c r="AU137" s="65"/>
      <c r="AV137" s="65"/>
      <c r="AW137" s="64"/>
      <c r="AX137" s="65"/>
      <c r="AY137" s="65"/>
      <c r="AZ137" s="65"/>
      <c r="BA137" s="65"/>
      <c r="BB137" s="65"/>
      <c r="BC137" s="65"/>
      <c r="BD137" s="66"/>
      <c r="BE137" s="64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6"/>
      <c r="BR137" s="64">
        <f>SUM(Y137:BQ137)</f>
        <v>1</v>
      </c>
      <c r="BS137" s="66"/>
    </row>
    <row r="138" spans="1:71" s="16" customFormat="1" ht="11.5" x14ac:dyDescent="0.25">
      <c r="A138" s="45"/>
      <c r="B138" s="46"/>
      <c r="C138" s="46"/>
      <c r="D138" s="46"/>
      <c r="E138" s="46"/>
      <c r="F138" s="46"/>
      <c r="G138" s="46"/>
      <c r="H138" s="46"/>
      <c r="I138" s="46"/>
      <c r="J138" s="47"/>
      <c r="K138" s="51"/>
      <c r="L138" s="52"/>
      <c r="M138" s="52"/>
      <c r="N138" s="52"/>
      <c r="O138" s="52"/>
      <c r="P138" s="52"/>
      <c r="Q138" s="52"/>
      <c r="R138" s="52"/>
      <c r="S138" s="52"/>
      <c r="T138" s="53"/>
      <c r="U138" s="56"/>
      <c r="V138" s="57"/>
      <c r="W138" s="102" t="s">
        <v>84</v>
      </c>
      <c r="X138" s="103"/>
      <c r="Y138" s="28"/>
      <c r="Z138" s="28"/>
      <c r="AA138" s="28"/>
      <c r="AB138" s="28"/>
      <c r="AC138" s="28"/>
      <c r="AD138" s="28"/>
      <c r="AE138" s="68"/>
      <c r="AF138" s="69"/>
      <c r="AG138" s="69"/>
      <c r="AH138" s="69"/>
      <c r="AI138" s="69"/>
      <c r="AJ138" s="70"/>
      <c r="AK138" s="33"/>
      <c r="AL138" s="67"/>
      <c r="AM138" s="67"/>
      <c r="AN138" s="67"/>
      <c r="AO138" s="67"/>
      <c r="AP138" s="67"/>
      <c r="AQ138" s="34"/>
      <c r="AR138" s="33"/>
      <c r="AS138" s="67"/>
      <c r="AT138" s="67"/>
      <c r="AU138" s="67"/>
      <c r="AV138" s="34"/>
      <c r="AW138" s="68"/>
      <c r="AX138" s="69"/>
      <c r="AY138" s="69"/>
      <c r="AZ138" s="69"/>
      <c r="BA138" s="69"/>
      <c r="BB138" s="69"/>
      <c r="BC138" s="69"/>
      <c r="BD138" s="70"/>
      <c r="BE138" s="36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8"/>
      <c r="BR138" s="33"/>
      <c r="BS138" s="34"/>
    </row>
    <row r="139" spans="1:71" s="16" customFormat="1" ht="11.5" x14ac:dyDescent="0.25">
      <c r="A139" s="42" t="s">
        <v>135</v>
      </c>
      <c r="B139" s="43"/>
      <c r="C139" s="43"/>
      <c r="D139" s="43"/>
      <c r="E139" s="43"/>
      <c r="F139" s="43"/>
      <c r="G139" s="43"/>
      <c r="H139" s="43"/>
      <c r="I139" s="43"/>
      <c r="J139" s="44"/>
      <c r="K139" s="48" t="s">
        <v>136</v>
      </c>
      <c r="L139" s="49"/>
      <c r="M139" s="49"/>
      <c r="N139" s="49"/>
      <c r="O139" s="49"/>
      <c r="P139" s="49"/>
      <c r="Q139" s="49"/>
      <c r="R139" s="49"/>
      <c r="S139" s="49"/>
      <c r="T139" s="50"/>
      <c r="U139" s="54"/>
      <c r="V139" s="55"/>
      <c r="W139" s="54" t="s">
        <v>83</v>
      </c>
      <c r="X139" s="55"/>
      <c r="Y139" s="58"/>
      <c r="Z139" s="59"/>
      <c r="AA139" s="59"/>
      <c r="AB139" s="59"/>
      <c r="AC139" s="59"/>
      <c r="AD139" s="60"/>
      <c r="AE139" s="58"/>
      <c r="AF139" s="59"/>
      <c r="AG139" s="59"/>
      <c r="AH139" s="59"/>
      <c r="AI139" s="59"/>
      <c r="AJ139" s="60"/>
      <c r="AK139" s="61">
        <v>2.2000000000000002</v>
      </c>
      <c r="AL139" s="62"/>
      <c r="AM139" s="62"/>
      <c r="AN139" s="62"/>
      <c r="AO139" s="62"/>
      <c r="AP139" s="62"/>
      <c r="AQ139" s="63"/>
      <c r="AR139" s="64"/>
      <c r="AS139" s="65"/>
      <c r="AT139" s="65"/>
      <c r="AU139" s="65"/>
      <c r="AV139" s="65"/>
      <c r="AW139" s="64"/>
      <c r="AX139" s="65"/>
      <c r="AY139" s="65"/>
      <c r="AZ139" s="65"/>
      <c r="BA139" s="65"/>
      <c r="BB139" s="65"/>
      <c r="BC139" s="65"/>
      <c r="BD139" s="66"/>
      <c r="BE139" s="64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6"/>
      <c r="BR139" s="64">
        <f>SUM(Y139:BQ139)</f>
        <v>2.2000000000000002</v>
      </c>
      <c r="BS139" s="66"/>
    </row>
    <row r="140" spans="1:71" s="16" customFormat="1" ht="11.5" x14ac:dyDescent="0.25">
      <c r="A140" s="45"/>
      <c r="B140" s="46"/>
      <c r="C140" s="46"/>
      <c r="D140" s="46"/>
      <c r="E140" s="46"/>
      <c r="F140" s="46"/>
      <c r="G140" s="46"/>
      <c r="H140" s="46"/>
      <c r="I140" s="46"/>
      <c r="J140" s="47"/>
      <c r="K140" s="51"/>
      <c r="L140" s="52"/>
      <c r="M140" s="52"/>
      <c r="N140" s="52"/>
      <c r="O140" s="52"/>
      <c r="P140" s="52"/>
      <c r="Q140" s="52"/>
      <c r="R140" s="52"/>
      <c r="S140" s="52"/>
      <c r="T140" s="53"/>
      <c r="U140" s="56"/>
      <c r="V140" s="57"/>
      <c r="W140" s="102" t="s">
        <v>84</v>
      </c>
      <c r="X140" s="103"/>
      <c r="Y140" s="28"/>
      <c r="Z140" s="28"/>
      <c r="AA140" s="28"/>
      <c r="AB140" s="28"/>
      <c r="AC140" s="28"/>
      <c r="AD140" s="28"/>
      <c r="AE140" s="68"/>
      <c r="AF140" s="69"/>
      <c r="AG140" s="69"/>
      <c r="AH140" s="69"/>
      <c r="AI140" s="69"/>
      <c r="AJ140" s="70"/>
      <c r="AK140" s="33"/>
      <c r="AL140" s="67"/>
      <c r="AM140" s="67"/>
      <c r="AN140" s="67"/>
      <c r="AO140" s="67"/>
      <c r="AP140" s="67"/>
      <c r="AQ140" s="34"/>
      <c r="AR140" s="33"/>
      <c r="AS140" s="67"/>
      <c r="AT140" s="67"/>
      <c r="AU140" s="67"/>
      <c r="AV140" s="34"/>
      <c r="AW140" s="68"/>
      <c r="AX140" s="69"/>
      <c r="AY140" s="69"/>
      <c r="AZ140" s="69"/>
      <c r="BA140" s="69"/>
      <c r="BB140" s="69"/>
      <c r="BC140" s="69"/>
      <c r="BD140" s="70"/>
      <c r="BE140" s="36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8"/>
      <c r="BR140" s="33"/>
      <c r="BS140" s="34"/>
    </row>
    <row r="141" spans="1:71" s="16" customFormat="1" ht="30.75" customHeight="1" x14ac:dyDescent="0.25">
      <c r="A141" s="42" t="s">
        <v>137</v>
      </c>
      <c r="B141" s="43"/>
      <c r="C141" s="43"/>
      <c r="D141" s="43"/>
      <c r="E141" s="43"/>
      <c r="F141" s="43"/>
      <c r="G141" s="43"/>
      <c r="H141" s="43"/>
      <c r="I141" s="43"/>
      <c r="J141" s="44"/>
      <c r="K141" s="48" t="s">
        <v>134</v>
      </c>
      <c r="L141" s="49"/>
      <c r="M141" s="49"/>
      <c r="N141" s="49"/>
      <c r="O141" s="49"/>
      <c r="P141" s="49"/>
      <c r="Q141" s="49"/>
      <c r="R141" s="49"/>
      <c r="S141" s="49"/>
      <c r="T141" s="50"/>
      <c r="U141" s="54"/>
      <c r="V141" s="55"/>
      <c r="W141" s="54" t="s">
        <v>83</v>
      </c>
      <c r="X141" s="55"/>
      <c r="Y141" s="58"/>
      <c r="Z141" s="59"/>
      <c r="AA141" s="59"/>
      <c r="AB141" s="59"/>
      <c r="AC141" s="59"/>
      <c r="AD141" s="60"/>
      <c r="AE141" s="58"/>
      <c r="AF141" s="59"/>
      <c r="AG141" s="59"/>
      <c r="AH141" s="59"/>
      <c r="AI141" s="59"/>
      <c r="AJ141" s="60"/>
      <c r="AK141" s="58">
        <v>20</v>
      </c>
      <c r="AL141" s="59"/>
      <c r="AM141" s="59"/>
      <c r="AN141" s="59"/>
      <c r="AO141" s="59"/>
      <c r="AP141" s="59"/>
      <c r="AQ141" s="60"/>
      <c r="AR141" s="58"/>
      <c r="AS141" s="59"/>
      <c r="AT141" s="59"/>
      <c r="AU141" s="59"/>
      <c r="AV141" s="60"/>
      <c r="AW141" s="64"/>
      <c r="AX141" s="65"/>
      <c r="AY141" s="65"/>
      <c r="AZ141" s="65"/>
      <c r="BA141" s="65"/>
      <c r="BB141" s="65"/>
      <c r="BC141" s="65"/>
      <c r="BD141" s="66"/>
      <c r="BE141" s="64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6"/>
      <c r="BR141" s="64">
        <f>SUM(Y141:BQ141)</f>
        <v>20</v>
      </c>
      <c r="BS141" s="66"/>
    </row>
    <row r="142" spans="1:71" s="16" customFormat="1" ht="26.25" customHeight="1" x14ac:dyDescent="0.25">
      <c r="A142" s="45"/>
      <c r="B142" s="46"/>
      <c r="C142" s="46"/>
      <c r="D142" s="46"/>
      <c r="E142" s="46"/>
      <c r="F142" s="46"/>
      <c r="G142" s="46"/>
      <c r="H142" s="46"/>
      <c r="I142" s="46"/>
      <c r="J142" s="47"/>
      <c r="K142" s="51"/>
      <c r="L142" s="52"/>
      <c r="M142" s="52"/>
      <c r="N142" s="52"/>
      <c r="O142" s="52"/>
      <c r="P142" s="52"/>
      <c r="Q142" s="52"/>
      <c r="R142" s="52"/>
      <c r="S142" s="52"/>
      <c r="T142" s="53"/>
      <c r="U142" s="56"/>
      <c r="V142" s="57"/>
      <c r="W142" s="102" t="s">
        <v>84</v>
      </c>
      <c r="X142" s="103"/>
      <c r="Y142" s="28"/>
      <c r="Z142" s="28"/>
      <c r="AA142" s="28"/>
      <c r="AB142" s="28"/>
      <c r="AC142" s="28"/>
      <c r="AD142" s="28"/>
      <c r="AE142" s="68"/>
      <c r="AF142" s="69"/>
      <c r="AG142" s="69"/>
      <c r="AH142" s="69"/>
      <c r="AI142" s="69"/>
      <c r="AJ142" s="70"/>
      <c r="AK142" s="33"/>
      <c r="AL142" s="67"/>
      <c r="AM142" s="67"/>
      <c r="AN142" s="67"/>
      <c r="AO142" s="67"/>
      <c r="AP142" s="67"/>
      <c r="AQ142" s="34"/>
      <c r="AR142" s="33"/>
      <c r="AS142" s="67"/>
      <c r="AT142" s="67"/>
      <c r="AU142" s="67"/>
      <c r="AV142" s="34"/>
      <c r="AW142" s="68"/>
      <c r="AX142" s="69"/>
      <c r="AY142" s="69"/>
      <c r="AZ142" s="69"/>
      <c r="BA142" s="69"/>
      <c r="BB142" s="69"/>
      <c r="BC142" s="69"/>
      <c r="BD142" s="70"/>
      <c r="BE142" s="36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8"/>
      <c r="BR142" s="33"/>
      <c r="BS142" s="34"/>
    </row>
    <row r="143" spans="1:71" s="16" customFormat="1" ht="11.5" x14ac:dyDescent="0.25">
      <c r="A143" s="42" t="s">
        <v>138</v>
      </c>
      <c r="B143" s="43"/>
      <c r="C143" s="43"/>
      <c r="D143" s="43"/>
      <c r="E143" s="43"/>
      <c r="F143" s="43"/>
      <c r="G143" s="43"/>
      <c r="H143" s="43"/>
      <c r="I143" s="43"/>
      <c r="J143" s="44"/>
      <c r="K143" s="48" t="s">
        <v>139</v>
      </c>
      <c r="L143" s="49"/>
      <c r="M143" s="49"/>
      <c r="N143" s="49"/>
      <c r="O143" s="49"/>
      <c r="P143" s="49"/>
      <c r="Q143" s="49"/>
      <c r="R143" s="49"/>
      <c r="S143" s="49"/>
      <c r="T143" s="50"/>
      <c r="U143" s="54"/>
      <c r="V143" s="55"/>
      <c r="W143" s="54" t="s">
        <v>83</v>
      </c>
      <c r="X143" s="55"/>
      <c r="Y143" s="58"/>
      <c r="Z143" s="59"/>
      <c r="AA143" s="59"/>
      <c r="AB143" s="59"/>
      <c r="AC143" s="59"/>
      <c r="AD143" s="60"/>
      <c r="AE143" s="58">
        <v>1</v>
      </c>
      <c r="AF143" s="59"/>
      <c r="AG143" s="59"/>
      <c r="AH143" s="59"/>
      <c r="AI143" s="59"/>
      <c r="AJ143" s="60"/>
      <c r="AK143" s="61"/>
      <c r="AL143" s="62"/>
      <c r="AM143" s="62"/>
      <c r="AN143" s="62"/>
      <c r="AO143" s="62"/>
      <c r="AP143" s="62"/>
      <c r="AQ143" s="63"/>
      <c r="AR143" s="64"/>
      <c r="AS143" s="65"/>
      <c r="AT143" s="65"/>
      <c r="AU143" s="65"/>
      <c r="AV143" s="65"/>
      <c r="AW143" s="64"/>
      <c r="AX143" s="65"/>
      <c r="AY143" s="65"/>
      <c r="AZ143" s="65"/>
      <c r="BA143" s="65"/>
      <c r="BB143" s="65"/>
      <c r="BC143" s="65"/>
      <c r="BD143" s="66"/>
      <c r="BE143" s="64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6"/>
      <c r="BR143" s="64">
        <f>SUM(Y143:BQ143)</f>
        <v>1</v>
      </c>
      <c r="BS143" s="66"/>
    </row>
    <row r="144" spans="1:71" s="16" customFormat="1" ht="11.5" x14ac:dyDescent="0.25">
      <c r="A144" s="45"/>
      <c r="B144" s="46"/>
      <c r="C144" s="46"/>
      <c r="D144" s="46"/>
      <c r="E144" s="46"/>
      <c r="F144" s="46"/>
      <c r="G144" s="46"/>
      <c r="H144" s="46"/>
      <c r="I144" s="46"/>
      <c r="J144" s="47"/>
      <c r="K144" s="51"/>
      <c r="L144" s="52"/>
      <c r="M144" s="52"/>
      <c r="N144" s="52"/>
      <c r="O144" s="52"/>
      <c r="P144" s="52"/>
      <c r="Q144" s="52"/>
      <c r="R144" s="52"/>
      <c r="S144" s="52"/>
      <c r="T144" s="53"/>
      <c r="U144" s="56"/>
      <c r="V144" s="57"/>
      <c r="W144" s="102" t="s">
        <v>84</v>
      </c>
      <c r="X144" s="103"/>
      <c r="Y144" s="28"/>
      <c r="Z144" s="28"/>
      <c r="AA144" s="28"/>
      <c r="AB144" s="28"/>
      <c r="AC144" s="28"/>
      <c r="AD144" s="28"/>
      <c r="AE144" s="68"/>
      <c r="AF144" s="69"/>
      <c r="AG144" s="69"/>
      <c r="AH144" s="69"/>
      <c r="AI144" s="69"/>
      <c r="AJ144" s="70"/>
      <c r="AK144" s="33"/>
      <c r="AL144" s="67"/>
      <c r="AM144" s="67"/>
      <c r="AN144" s="67"/>
      <c r="AO144" s="67"/>
      <c r="AP144" s="67"/>
      <c r="AQ144" s="34"/>
      <c r="AR144" s="33"/>
      <c r="AS144" s="67"/>
      <c r="AT144" s="67"/>
      <c r="AU144" s="67"/>
      <c r="AV144" s="34"/>
      <c r="AW144" s="68"/>
      <c r="AX144" s="69"/>
      <c r="AY144" s="69"/>
      <c r="AZ144" s="69"/>
      <c r="BA144" s="69"/>
      <c r="BB144" s="69"/>
      <c r="BC144" s="69"/>
      <c r="BD144" s="70"/>
      <c r="BE144" s="36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8"/>
      <c r="BR144" s="33"/>
      <c r="BS144" s="34"/>
    </row>
    <row r="145" spans="1:71" s="16" customFormat="1" ht="19.5" customHeight="1" x14ac:dyDescent="0.25">
      <c r="A145" s="42" t="s">
        <v>140</v>
      </c>
      <c r="B145" s="43"/>
      <c r="C145" s="43"/>
      <c r="D145" s="43"/>
      <c r="E145" s="43"/>
      <c r="F145" s="43"/>
      <c r="G145" s="43"/>
      <c r="H145" s="43"/>
      <c r="I145" s="43"/>
      <c r="J145" s="44"/>
      <c r="K145" s="48" t="s">
        <v>141</v>
      </c>
      <c r="L145" s="49"/>
      <c r="M145" s="49"/>
      <c r="N145" s="49"/>
      <c r="O145" s="49"/>
      <c r="P145" s="49"/>
      <c r="Q145" s="49"/>
      <c r="R145" s="49"/>
      <c r="S145" s="49"/>
      <c r="T145" s="50"/>
      <c r="U145" s="54"/>
      <c r="V145" s="55"/>
      <c r="W145" s="54" t="s">
        <v>83</v>
      </c>
      <c r="X145" s="55"/>
      <c r="Y145" s="58"/>
      <c r="Z145" s="59"/>
      <c r="AA145" s="59"/>
      <c r="AB145" s="59"/>
      <c r="AC145" s="59"/>
      <c r="AD145" s="60"/>
      <c r="AE145" s="58"/>
      <c r="AF145" s="59"/>
      <c r="AG145" s="59"/>
      <c r="AH145" s="59"/>
      <c r="AI145" s="59"/>
      <c r="AJ145" s="60"/>
      <c r="AK145" s="58"/>
      <c r="AL145" s="59"/>
      <c r="AM145" s="59"/>
      <c r="AN145" s="59"/>
      <c r="AO145" s="59"/>
      <c r="AP145" s="59"/>
      <c r="AQ145" s="60"/>
      <c r="AR145" s="58">
        <v>1</v>
      </c>
      <c r="AS145" s="59"/>
      <c r="AT145" s="59"/>
      <c r="AU145" s="59"/>
      <c r="AV145" s="60"/>
      <c r="AW145" s="64">
        <v>1</v>
      </c>
      <c r="AX145" s="65"/>
      <c r="AY145" s="65"/>
      <c r="AZ145" s="65"/>
      <c r="BA145" s="65"/>
      <c r="BB145" s="65"/>
      <c r="BC145" s="65"/>
      <c r="BD145" s="66"/>
      <c r="BE145" s="64">
        <v>1</v>
      </c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6"/>
      <c r="BR145" s="64">
        <f>SUM(Y145:BQ145)</f>
        <v>3</v>
      </c>
      <c r="BS145" s="66"/>
    </row>
    <row r="146" spans="1:71" s="16" customFormat="1" ht="16.5" customHeight="1" x14ac:dyDescent="0.25">
      <c r="A146" s="45"/>
      <c r="B146" s="46"/>
      <c r="C146" s="46"/>
      <c r="D146" s="46"/>
      <c r="E146" s="46"/>
      <c r="F146" s="46"/>
      <c r="G146" s="46"/>
      <c r="H146" s="46"/>
      <c r="I146" s="46"/>
      <c r="J146" s="47"/>
      <c r="K146" s="51"/>
      <c r="L146" s="52"/>
      <c r="M146" s="52"/>
      <c r="N146" s="52"/>
      <c r="O146" s="52"/>
      <c r="P146" s="52"/>
      <c r="Q146" s="52"/>
      <c r="R146" s="52"/>
      <c r="S146" s="52"/>
      <c r="T146" s="53"/>
      <c r="U146" s="56"/>
      <c r="V146" s="57"/>
      <c r="W146" s="102" t="s">
        <v>84</v>
      </c>
      <c r="X146" s="103"/>
      <c r="Y146" s="28"/>
      <c r="Z146" s="28"/>
      <c r="AA146" s="28"/>
      <c r="AB146" s="28"/>
      <c r="AC146" s="28"/>
      <c r="AD146" s="28"/>
      <c r="AE146" s="68"/>
      <c r="AF146" s="69"/>
      <c r="AG146" s="69"/>
      <c r="AH146" s="69"/>
      <c r="AI146" s="69"/>
      <c r="AJ146" s="70"/>
      <c r="AK146" s="33"/>
      <c r="AL146" s="67"/>
      <c r="AM146" s="67"/>
      <c r="AN146" s="67"/>
      <c r="AO146" s="67"/>
      <c r="AP146" s="67"/>
      <c r="AQ146" s="34"/>
      <c r="AR146" s="33"/>
      <c r="AS146" s="67"/>
      <c r="AT146" s="67"/>
      <c r="AU146" s="67"/>
      <c r="AV146" s="34"/>
      <c r="AW146" s="68"/>
      <c r="AX146" s="69"/>
      <c r="AY146" s="69"/>
      <c r="AZ146" s="69"/>
      <c r="BA146" s="69"/>
      <c r="BB146" s="69"/>
      <c r="BC146" s="69"/>
      <c r="BD146" s="70"/>
      <c r="BE146" s="36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8"/>
      <c r="BR146" s="33"/>
      <c r="BS146" s="34"/>
    </row>
    <row r="147" spans="1:71" s="8" customFormat="1" ht="9" customHeight="1" x14ac:dyDescent="0.25">
      <c r="A147" s="129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1"/>
    </row>
    <row r="148" spans="1:71" s="8" customFormat="1" ht="13.5" customHeight="1" x14ac:dyDescent="0.25">
      <c r="A148" s="132" t="s">
        <v>142</v>
      </c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2"/>
      <c r="BC148" s="132"/>
      <c r="BD148" s="132"/>
      <c r="BE148" s="132"/>
      <c r="BF148" s="132"/>
      <c r="BG148" s="132"/>
      <c r="BH148" s="132"/>
      <c r="BI148" s="132"/>
      <c r="BJ148" s="132"/>
      <c r="BK148" s="132"/>
      <c r="BL148" s="132"/>
      <c r="BM148" s="132"/>
      <c r="BN148" s="132"/>
      <c r="BO148" s="132"/>
      <c r="BP148" s="132"/>
      <c r="BQ148" s="132"/>
      <c r="BR148" s="132"/>
      <c r="BS148" s="132"/>
    </row>
    <row r="149" spans="1:71" s="16" customFormat="1" ht="11.5" x14ac:dyDescent="0.25">
      <c r="A149" s="128" t="s">
        <v>143</v>
      </c>
      <c r="B149" s="128"/>
      <c r="C149" s="128"/>
      <c r="D149" s="128"/>
      <c r="E149" s="128"/>
      <c r="F149" s="128"/>
      <c r="G149" s="128"/>
      <c r="H149" s="128"/>
      <c r="I149" s="128"/>
      <c r="J149" s="128"/>
      <c r="K149" s="95" t="s">
        <v>122</v>
      </c>
      <c r="L149" s="95"/>
      <c r="M149" s="95"/>
      <c r="N149" s="95"/>
      <c r="O149" s="95"/>
      <c r="P149" s="95"/>
      <c r="Q149" s="95"/>
      <c r="R149" s="95"/>
      <c r="S149" s="95"/>
      <c r="T149" s="95"/>
      <c r="U149" s="133"/>
      <c r="V149" s="133"/>
      <c r="W149" s="54" t="s">
        <v>83</v>
      </c>
      <c r="X149" s="55"/>
      <c r="Y149" s="61"/>
      <c r="Z149" s="62"/>
      <c r="AA149" s="62"/>
      <c r="AB149" s="62"/>
      <c r="AC149" s="62"/>
      <c r="AD149" s="63"/>
      <c r="AE149" s="61"/>
      <c r="AF149" s="62"/>
      <c r="AG149" s="62"/>
      <c r="AH149" s="62"/>
      <c r="AI149" s="62"/>
      <c r="AJ149" s="63"/>
      <c r="AK149" s="61"/>
      <c r="AL149" s="62"/>
      <c r="AM149" s="62"/>
      <c r="AN149" s="62"/>
      <c r="AO149" s="62"/>
      <c r="AP149" s="62"/>
      <c r="AQ149" s="63"/>
      <c r="AR149" s="104">
        <v>1</v>
      </c>
      <c r="AS149" s="105"/>
      <c r="AT149" s="105"/>
      <c r="AU149" s="105"/>
      <c r="AV149" s="106"/>
      <c r="AW149" s="61"/>
      <c r="AX149" s="62"/>
      <c r="AY149" s="62"/>
      <c r="AZ149" s="62"/>
      <c r="BA149" s="62"/>
      <c r="BB149" s="62"/>
      <c r="BC149" s="62"/>
      <c r="BD149" s="63"/>
      <c r="BE149" s="64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6"/>
      <c r="BR149" s="61">
        <f>SUM(Y149:BQ149)</f>
        <v>1</v>
      </c>
      <c r="BS149" s="63"/>
    </row>
    <row r="150" spans="1:71" s="16" customFormat="1" ht="11.5" x14ac:dyDescent="0.2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134"/>
      <c r="V150" s="134"/>
      <c r="W150" s="135" t="s">
        <v>84</v>
      </c>
      <c r="X150" s="135"/>
      <c r="Y150" s="253"/>
      <c r="Z150" s="254"/>
      <c r="AA150" s="254"/>
      <c r="AB150" s="254"/>
      <c r="AC150" s="254"/>
      <c r="AD150" s="255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177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36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8"/>
      <c r="BR150" s="92"/>
      <c r="BS150" s="92"/>
    </row>
    <row r="151" spans="1:71" s="16" customFormat="1" ht="11.5" x14ac:dyDescent="0.25">
      <c r="A151" s="128" t="s">
        <v>144</v>
      </c>
      <c r="B151" s="128"/>
      <c r="C151" s="128"/>
      <c r="D151" s="128"/>
      <c r="E151" s="128"/>
      <c r="F151" s="128"/>
      <c r="G151" s="128"/>
      <c r="H151" s="128"/>
      <c r="I151" s="128"/>
      <c r="J151" s="128"/>
      <c r="K151" s="95" t="s">
        <v>122</v>
      </c>
      <c r="L151" s="95"/>
      <c r="M151" s="95"/>
      <c r="N151" s="95"/>
      <c r="O151" s="95"/>
      <c r="P151" s="95"/>
      <c r="Q151" s="95"/>
      <c r="R151" s="95"/>
      <c r="S151" s="95"/>
      <c r="T151" s="95"/>
      <c r="U151" s="133"/>
      <c r="V151" s="133"/>
      <c r="W151" s="54" t="s">
        <v>83</v>
      </c>
      <c r="X151" s="55"/>
      <c r="Y151" s="80"/>
      <c r="Z151" s="81"/>
      <c r="AA151" s="81"/>
      <c r="AB151" s="81"/>
      <c r="AC151" s="81"/>
      <c r="AD151" s="82"/>
      <c r="AE151" s="61"/>
      <c r="AF151" s="62"/>
      <c r="AG151" s="62"/>
      <c r="AH151" s="62"/>
      <c r="AI151" s="62"/>
      <c r="AJ151" s="63"/>
      <c r="AK151" s="61"/>
      <c r="AL151" s="62"/>
      <c r="AM151" s="62"/>
      <c r="AN151" s="62"/>
      <c r="AO151" s="62"/>
      <c r="AP151" s="62"/>
      <c r="AQ151" s="63"/>
      <c r="AR151" s="104"/>
      <c r="AS151" s="105"/>
      <c r="AT151" s="105"/>
      <c r="AU151" s="105"/>
      <c r="AV151" s="106"/>
      <c r="AW151" s="61">
        <v>1</v>
      </c>
      <c r="AX151" s="62"/>
      <c r="AY151" s="62"/>
      <c r="AZ151" s="62"/>
      <c r="BA151" s="62"/>
      <c r="BB151" s="62"/>
      <c r="BC151" s="62"/>
      <c r="BD151" s="63"/>
      <c r="BE151" s="61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3"/>
      <c r="BR151" s="61">
        <f>SUM(Y151:BQ151)</f>
        <v>1</v>
      </c>
      <c r="BS151" s="63"/>
    </row>
    <row r="152" spans="1:71" s="16" customFormat="1" ht="11.5" x14ac:dyDescent="0.2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134"/>
      <c r="V152" s="134"/>
      <c r="W152" s="135" t="s">
        <v>84</v>
      </c>
      <c r="X152" s="135"/>
      <c r="Y152" s="25"/>
      <c r="Z152" s="26"/>
      <c r="AA152" s="26"/>
      <c r="AB152" s="26"/>
      <c r="AC152" s="26"/>
      <c r="AD152" s="27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177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36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8"/>
      <c r="BR152" s="92"/>
      <c r="BS152" s="92"/>
    </row>
    <row r="153" spans="1:71" s="16" customFormat="1" ht="11.5" x14ac:dyDescent="0.25">
      <c r="A153" s="74" t="s">
        <v>145</v>
      </c>
      <c r="B153" s="75"/>
      <c r="C153" s="75"/>
      <c r="D153" s="75"/>
      <c r="E153" s="75"/>
      <c r="F153" s="75"/>
      <c r="G153" s="75"/>
      <c r="H153" s="75"/>
      <c r="I153" s="75"/>
      <c r="J153" s="76"/>
      <c r="K153" s="48" t="s">
        <v>122</v>
      </c>
      <c r="L153" s="49"/>
      <c r="M153" s="49"/>
      <c r="N153" s="49"/>
      <c r="O153" s="49"/>
      <c r="P153" s="49"/>
      <c r="Q153" s="49"/>
      <c r="R153" s="49"/>
      <c r="S153" s="49"/>
      <c r="T153" s="50"/>
      <c r="U153" s="54"/>
      <c r="V153" s="55"/>
      <c r="W153" s="54" t="s">
        <v>83</v>
      </c>
      <c r="X153" s="55"/>
      <c r="Y153" s="80"/>
      <c r="Z153" s="81"/>
      <c r="AA153" s="81"/>
      <c r="AB153" s="81"/>
      <c r="AC153" s="81"/>
      <c r="AD153" s="82"/>
      <c r="AE153" s="61"/>
      <c r="AF153" s="62"/>
      <c r="AG153" s="62"/>
      <c r="AH153" s="62"/>
      <c r="AI153" s="62"/>
      <c r="AJ153" s="63"/>
      <c r="AK153" s="61"/>
      <c r="AL153" s="62"/>
      <c r="AM153" s="62"/>
      <c r="AN153" s="62"/>
      <c r="AO153" s="62"/>
      <c r="AP153" s="62"/>
      <c r="AQ153" s="63"/>
      <c r="AR153" s="104"/>
      <c r="AS153" s="105"/>
      <c r="AT153" s="105"/>
      <c r="AU153" s="105"/>
      <c r="AV153" s="106"/>
      <c r="AW153" s="61">
        <v>1</v>
      </c>
      <c r="AX153" s="62"/>
      <c r="AY153" s="62"/>
      <c r="AZ153" s="62"/>
      <c r="BA153" s="62"/>
      <c r="BB153" s="62"/>
      <c r="BC153" s="62"/>
      <c r="BD153" s="63"/>
      <c r="BE153" s="61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3"/>
      <c r="BR153" s="61">
        <f>SUM(Y153:BQ153)</f>
        <v>1</v>
      </c>
      <c r="BS153" s="63"/>
    </row>
    <row r="154" spans="1:71" s="16" customFormat="1" ht="11.5" x14ac:dyDescent="0.25">
      <c r="A154" s="77"/>
      <c r="B154" s="78"/>
      <c r="C154" s="78"/>
      <c r="D154" s="78"/>
      <c r="E154" s="78"/>
      <c r="F154" s="78"/>
      <c r="G154" s="78"/>
      <c r="H154" s="78"/>
      <c r="I154" s="78"/>
      <c r="J154" s="79"/>
      <c r="K154" s="51"/>
      <c r="L154" s="52"/>
      <c r="M154" s="52"/>
      <c r="N154" s="52"/>
      <c r="O154" s="52"/>
      <c r="P154" s="52"/>
      <c r="Q154" s="52"/>
      <c r="R154" s="52"/>
      <c r="S154" s="52"/>
      <c r="T154" s="53"/>
      <c r="U154" s="56"/>
      <c r="V154" s="57"/>
      <c r="W154" s="102" t="s">
        <v>84</v>
      </c>
      <c r="X154" s="103"/>
      <c r="Y154" s="28"/>
      <c r="Z154" s="28"/>
      <c r="AA154" s="28"/>
      <c r="AB154" s="28"/>
      <c r="AC154" s="28"/>
      <c r="AD154" s="28"/>
      <c r="AE154" s="68"/>
      <c r="AF154" s="69"/>
      <c r="AG154" s="69"/>
      <c r="AH154" s="69"/>
      <c r="AI154" s="69"/>
      <c r="AJ154" s="70"/>
      <c r="AK154" s="33"/>
      <c r="AL154" s="67"/>
      <c r="AM154" s="67"/>
      <c r="AN154" s="67"/>
      <c r="AO154" s="67"/>
      <c r="AP154" s="67"/>
      <c r="AQ154" s="34"/>
      <c r="AR154" s="33"/>
      <c r="AS154" s="67"/>
      <c r="AT154" s="67"/>
      <c r="AU154" s="67"/>
      <c r="AV154" s="34"/>
      <c r="AW154" s="68"/>
      <c r="AX154" s="69"/>
      <c r="AY154" s="69"/>
      <c r="AZ154" s="69"/>
      <c r="BA154" s="69"/>
      <c r="BB154" s="69"/>
      <c r="BC154" s="69"/>
      <c r="BD154" s="70"/>
      <c r="BE154" s="36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8"/>
      <c r="BR154" s="33"/>
      <c r="BS154" s="34"/>
    </row>
    <row r="155" spans="1:71" s="16" customFormat="1" ht="11.5" x14ac:dyDescent="0.25">
      <c r="A155" s="74" t="s">
        <v>146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48" t="s">
        <v>147</v>
      </c>
      <c r="L155" s="49"/>
      <c r="M155" s="49"/>
      <c r="N155" s="49"/>
      <c r="O155" s="49"/>
      <c r="P155" s="49"/>
      <c r="Q155" s="49"/>
      <c r="R155" s="49"/>
      <c r="S155" s="49"/>
      <c r="T155" s="50"/>
      <c r="U155" s="54"/>
      <c r="V155" s="55"/>
      <c r="W155" s="54" t="s">
        <v>83</v>
      </c>
      <c r="X155" s="55"/>
      <c r="Y155" s="80"/>
      <c r="Z155" s="81"/>
      <c r="AA155" s="81"/>
      <c r="AB155" s="81"/>
      <c r="AC155" s="81"/>
      <c r="AD155" s="82"/>
      <c r="AE155" s="61">
        <v>6</v>
      </c>
      <c r="AF155" s="62"/>
      <c r="AG155" s="62"/>
      <c r="AH155" s="62"/>
      <c r="AI155" s="62"/>
      <c r="AJ155" s="63"/>
      <c r="AK155" s="61"/>
      <c r="AL155" s="62"/>
      <c r="AM155" s="62"/>
      <c r="AN155" s="62"/>
      <c r="AO155" s="62"/>
      <c r="AP155" s="62"/>
      <c r="AQ155" s="63"/>
      <c r="AR155" s="104"/>
      <c r="AS155" s="105"/>
      <c r="AT155" s="105"/>
      <c r="AU155" s="105"/>
      <c r="AV155" s="106"/>
      <c r="AW155" s="61"/>
      <c r="AX155" s="62"/>
      <c r="AY155" s="62"/>
      <c r="AZ155" s="62"/>
      <c r="BA155" s="62"/>
      <c r="BB155" s="62"/>
      <c r="BC155" s="62"/>
      <c r="BD155" s="63"/>
      <c r="BE155" s="61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3"/>
      <c r="BR155" s="61">
        <f>SUM(Y155:BQ155)</f>
        <v>6</v>
      </c>
      <c r="BS155" s="63"/>
    </row>
    <row r="156" spans="1:71" s="16" customFormat="1" ht="11.5" x14ac:dyDescent="0.25">
      <c r="A156" s="77"/>
      <c r="B156" s="78"/>
      <c r="C156" s="78"/>
      <c r="D156" s="78"/>
      <c r="E156" s="78"/>
      <c r="F156" s="78"/>
      <c r="G156" s="78"/>
      <c r="H156" s="78"/>
      <c r="I156" s="78"/>
      <c r="J156" s="79"/>
      <c r="K156" s="51"/>
      <c r="L156" s="52"/>
      <c r="M156" s="52"/>
      <c r="N156" s="52"/>
      <c r="O156" s="52"/>
      <c r="P156" s="52"/>
      <c r="Q156" s="52"/>
      <c r="R156" s="52"/>
      <c r="S156" s="52"/>
      <c r="T156" s="53"/>
      <c r="U156" s="56"/>
      <c r="V156" s="57"/>
      <c r="W156" s="102" t="s">
        <v>84</v>
      </c>
      <c r="X156" s="103"/>
      <c r="Y156" s="28"/>
      <c r="Z156" s="28"/>
      <c r="AA156" s="28"/>
      <c r="AB156" s="28"/>
      <c r="AC156" s="28"/>
      <c r="AD156" s="28"/>
      <c r="AE156" s="68"/>
      <c r="AF156" s="69"/>
      <c r="AG156" s="69"/>
      <c r="AH156" s="69"/>
      <c r="AI156" s="69"/>
      <c r="AJ156" s="70"/>
      <c r="AK156" s="33"/>
      <c r="AL156" s="67"/>
      <c r="AM156" s="67"/>
      <c r="AN156" s="67"/>
      <c r="AO156" s="67"/>
      <c r="AP156" s="67"/>
      <c r="AQ156" s="34"/>
      <c r="AR156" s="33"/>
      <c r="AS156" s="67"/>
      <c r="AT156" s="67"/>
      <c r="AU156" s="67"/>
      <c r="AV156" s="34"/>
      <c r="AW156" s="68"/>
      <c r="AX156" s="69"/>
      <c r="AY156" s="69"/>
      <c r="AZ156" s="69"/>
      <c r="BA156" s="69"/>
      <c r="BB156" s="69"/>
      <c r="BC156" s="69"/>
      <c r="BD156" s="70"/>
      <c r="BE156" s="36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8"/>
      <c r="BR156" s="33"/>
      <c r="BS156" s="34"/>
    </row>
    <row r="157" spans="1:71" s="16" customFormat="1" ht="19.5" customHeight="1" x14ac:dyDescent="0.25">
      <c r="A157" s="74" t="s">
        <v>148</v>
      </c>
      <c r="B157" s="75"/>
      <c r="C157" s="75"/>
      <c r="D157" s="75"/>
      <c r="E157" s="75"/>
      <c r="F157" s="75"/>
      <c r="G157" s="75"/>
      <c r="H157" s="75"/>
      <c r="I157" s="75"/>
      <c r="J157" s="76"/>
      <c r="K157" s="48" t="s">
        <v>149</v>
      </c>
      <c r="L157" s="49"/>
      <c r="M157" s="49"/>
      <c r="N157" s="49"/>
      <c r="O157" s="49"/>
      <c r="P157" s="49"/>
      <c r="Q157" s="49"/>
      <c r="R157" s="49"/>
      <c r="S157" s="49"/>
      <c r="T157" s="50"/>
      <c r="U157" s="54"/>
      <c r="V157" s="55"/>
      <c r="W157" s="54" t="s">
        <v>83</v>
      </c>
      <c r="X157" s="55"/>
      <c r="Y157" s="80"/>
      <c r="Z157" s="81"/>
      <c r="AA157" s="81"/>
      <c r="AB157" s="81"/>
      <c r="AC157" s="81"/>
      <c r="AD157" s="82"/>
      <c r="AE157" s="61">
        <v>1</v>
      </c>
      <c r="AF157" s="62"/>
      <c r="AG157" s="62"/>
      <c r="AH157" s="62"/>
      <c r="AI157" s="62"/>
      <c r="AJ157" s="63"/>
      <c r="AK157" s="61"/>
      <c r="AL157" s="62"/>
      <c r="AM157" s="62"/>
      <c r="AN157" s="62"/>
      <c r="AO157" s="62"/>
      <c r="AP157" s="62"/>
      <c r="AQ157" s="63"/>
      <c r="AR157" s="104"/>
      <c r="AS157" s="105"/>
      <c r="AT157" s="105"/>
      <c r="AU157" s="105"/>
      <c r="AV157" s="106"/>
      <c r="AW157" s="61"/>
      <c r="AX157" s="62"/>
      <c r="AY157" s="62"/>
      <c r="AZ157" s="62"/>
      <c r="BA157" s="62"/>
      <c r="BB157" s="62"/>
      <c r="BC157" s="62"/>
      <c r="BD157" s="63"/>
      <c r="BE157" s="61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3"/>
      <c r="BR157" s="61">
        <f>SUM(Y157:BQ157)</f>
        <v>1</v>
      </c>
      <c r="BS157" s="63"/>
    </row>
    <row r="158" spans="1:71" s="16" customFormat="1" ht="16.5" customHeight="1" x14ac:dyDescent="0.25">
      <c r="A158" s="77"/>
      <c r="B158" s="78"/>
      <c r="C158" s="78"/>
      <c r="D158" s="78"/>
      <c r="E158" s="78"/>
      <c r="F158" s="78"/>
      <c r="G158" s="78"/>
      <c r="H158" s="78"/>
      <c r="I158" s="78"/>
      <c r="J158" s="79"/>
      <c r="K158" s="51"/>
      <c r="L158" s="52"/>
      <c r="M158" s="52"/>
      <c r="N158" s="52"/>
      <c r="O158" s="52"/>
      <c r="P158" s="52"/>
      <c r="Q158" s="52"/>
      <c r="R158" s="52"/>
      <c r="S158" s="52"/>
      <c r="T158" s="53"/>
      <c r="U158" s="56"/>
      <c r="V158" s="57"/>
      <c r="W158" s="102" t="s">
        <v>84</v>
      </c>
      <c r="X158" s="103"/>
      <c r="Y158" s="28"/>
      <c r="Z158" s="28"/>
      <c r="AA158" s="28"/>
      <c r="AB158" s="28"/>
      <c r="AC158" s="28"/>
      <c r="AD158" s="28"/>
      <c r="AE158" s="68"/>
      <c r="AF158" s="69"/>
      <c r="AG158" s="69"/>
      <c r="AH158" s="69"/>
      <c r="AI158" s="69"/>
      <c r="AJ158" s="70"/>
      <c r="AK158" s="33"/>
      <c r="AL158" s="67"/>
      <c r="AM158" s="67"/>
      <c r="AN158" s="67"/>
      <c r="AO158" s="67"/>
      <c r="AP158" s="67"/>
      <c r="AQ158" s="34"/>
      <c r="AR158" s="33"/>
      <c r="AS158" s="67"/>
      <c r="AT158" s="67"/>
      <c r="AU158" s="67"/>
      <c r="AV158" s="34"/>
      <c r="AW158" s="68"/>
      <c r="AX158" s="69"/>
      <c r="AY158" s="69"/>
      <c r="AZ158" s="69"/>
      <c r="BA158" s="69"/>
      <c r="BB158" s="69"/>
      <c r="BC158" s="69"/>
      <c r="BD158" s="70"/>
      <c r="BE158" s="36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8"/>
      <c r="BR158" s="33"/>
      <c r="BS158" s="34"/>
    </row>
    <row r="159" spans="1:71" s="16" customFormat="1" ht="11.5" x14ac:dyDescent="0.25">
      <c r="A159" s="74" t="s">
        <v>150</v>
      </c>
      <c r="B159" s="75"/>
      <c r="C159" s="75"/>
      <c r="D159" s="75"/>
      <c r="E159" s="75"/>
      <c r="F159" s="75"/>
      <c r="G159" s="75"/>
      <c r="H159" s="75"/>
      <c r="I159" s="75"/>
      <c r="J159" s="76"/>
      <c r="K159" s="48" t="s">
        <v>151</v>
      </c>
      <c r="L159" s="49"/>
      <c r="M159" s="49"/>
      <c r="N159" s="49"/>
      <c r="O159" s="49"/>
      <c r="P159" s="49"/>
      <c r="Q159" s="49"/>
      <c r="R159" s="49"/>
      <c r="S159" s="49"/>
      <c r="T159" s="50"/>
      <c r="U159" s="54"/>
      <c r="V159" s="55"/>
      <c r="W159" s="54" t="s">
        <v>83</v>
      </c>
      <c r="X159" s="55"/>
      <c r="Y159" s="80"/>
      <c r="Z159" s="81"/>
      <c r="AA159" s="81"/>
      <c r="AB159" s="81"/>
      <c r="AC159" s="81"/>
      <c r="AD159" s="82"/>
      <c r="AE159" s="61">
        <v>1</v>
      </c>
      <c r="AF159" s="62"/>
      <c r="AG159" s="62"/>
      <c r="AH159" s="62"/>
      <c r="AI159" s="62"/>
      <c r="AJ159" s="63"/>
      <c r="AK159" s="61"/>
      <c r="AL159" s="62"/>
      <c r="AM159" s="62"/>
      <c r="AN159" s="62"/>
      <c r="AO159" s="62"/>
      <c r="AP159" s="62"/>
      <c r="AQ159" s="63"/>
      <c r="AR159" s="104"/>
      <c r="AS159" s="105"/>
      <c r="AT159" s="105"/>
      <c r="AU159" s="105"/>
      <c r="AV159" s="106"/>
      <c r="AW159" s="61"/>
      <c r="AX159" s="62"/>
      <c r="AY159" s="62"/>
      <c r="AZ159" s="62"/>
      <c r="BA159" s="62"/>
      <c r="BB159" s="62"/>
      <c r="BC159" s="62"/>
      <c r="BD159" s="63"/>
      <c r="BE159" s="61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3"/>
      <c r="BR159" s="61">
        <f>SUM(Y159:BQ159)</f>
        <v>1</v>
      </c>
      <c r="BS159" s="63"/>
    </row>
    <row r="160" spans="1:71" s="16" customFormat="1" ht="11.5" x14ac:dyDescent="0.25">
      <c r="A160" s="77"/>
      <c r="B160" s="78"/>
      <c r="C160" s="78"/>
      <c r="D160" s="78"/>
      <c r="E160" s="78"/>
      <c r="F160" s="78"/>
      <c r="G160" s="78"/>
      <c r="H160" s="78"/>
      <c r="I160" s="78"/>
      <c r="J160" s="79"/>
      <c r="K160" s="51"/>
      <c r="L160" s="52"/>
      <c r="M160" s="52"/>
      <c r="N160" s="52"/>
      <c r="O160" s="52"/>
      <c r="P160" s="52"/>
      <c r="Q160" s="52"/>
      <c r="R160" s="52"/>
      <c r="S160" s="52"/>
      <c r="T160" s="53"/>
      <c r="U160" s="56"/>
      <c r="V160" s="57"/>
      <c r="W160" s="102" t="s">
        <v>84</v>
      </c>
      <c r="X160" s="103"/>
      <c r="Y160" s="28"/>
      <c r="Z160" s="28"/>
      <c r="AA160" s="28"/>
      <c r="AB160" s="28"/>
      <c r="AC160" s="28"/>
      <c r="AD160" s="28"/>
      <c r="AE160" s="68"/>
      <c r="AF160" s="69"/>
      <c r="AG160" s="69"/>
      <c r="AH160" s="69"/>
      <c r="AI160" s="69"/>
      <c r="AJ160" s="70"/>
      <c r="AK160" s="33"/>
      <c r="AL160" s="67"/>
      <c r="AM160" s="67"/>
      <c r="AN160" s="67"/>
      <c r="AO160" s="67"/>
      <c r="AP160" s="67"/>
      <c r="AQ160" s="34"/>
      <c r="AR160" s="33"/>
      <c r="AS160" s="67"/>
      <c r="AT160" s="67"/>
      <c r="AU160" s="67"/>
      <c r="AV160" s="34"/>
      <c r="AW160" s="68"/>
      <c r="AX160" s="69"/>
      <c r="AY160" s="69"/>
      <c r="AZ160" s="69"/>
      <c r="BA160" s="69"/>
      <c r="BB160" s="69"/>
      <c r="BC160" s="69"/>
      <c r="BD160" s="70"/>
      <c r="BE160" s="36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8"/>
      <c r="BR160" s="33"/>
      <c r="BS160" s="34"/>
    </row>
    <row r="161" spans="1:71" s="16" customFormat="1" ht="19.5" customHeight="1" x14ac:dyDescent="0.25">
      <c r="A161" s="74" t="s">
        <v>152</v>
      </c>
      <c r="B161" s="75"/>
      <c r="C161" s="75"/>
      <c r="D161" s="75"/>
      <c r="E161" s="75"/>
      <c r="F161" s="75"/>
      <c r="G161" s="75"/>
      <c r="H161" s="75"/>
      <c r="I161" s="75"/>
      <c r="J161" s="76"/>
      <c r="K161" s="48" t="s">
        <v>153</v>
      </c>
      <c r="L161" s="49"/>
      <c r="M161" s="49"/>
      <c r="N161" s="49"/>
      <c r="O161" s="49"/>
      <c r="P161" s="49"/>
      <c r="Q161" s="49"/>
      <c r="R161" s="49"/>
      <c r="S161" s="49"/>
      <c r="T161" s="50"/>
      <c r="U161" s="54"/>
      <c r="V161" s="55"/>
      <c r="W161" s="54" t="s">
        <v>83</v>
      </c>
      <c r="X161" s="55"/>
      <c r="Y161" s="80"/>
      <c r="Z161" s="81"/>
      <c r="AA161" s="81"/>
      <c r="AB161" s="81"/>
      <c r="AC161" s="81"/>
      <c r="AD161" s="82"/>
      <c r="AE161" s="61">
        <v>1</v>
      </c>
      <c r="AF161" s="62"/>
      <c r="AG161" s="62"/>
      <c r="AH161" s="62"/>
      <c r="AI161" s="62"/>
      <c r="AJ161" s="63"/>
      <c r="AK161" s="61"/>
      <c r="AL161" s="62"/>
      <c r="AM161" s="62"/>
      <c r="AN161" s="62"/>
      <c r="AO161" s="62"/>
      <c r="AP161" s="62"/>
      <c r="AQ161" s="63"/>
      <c r="AR161" s="104"/>
      <c r="AS161" s="105"/>
      <c r="AT161" s="105"/>
      <c r="AU161" s="105"/>
      <c r="AV161" s="106"/>
      <c r="AW161" s="61"/>
      <c r="AX161" s="62"/>
      <c r="AY161" s="62"/>
      <c r="AZ161" s="62"/>
      <c r="BA161" s="62"/>
      <c r="BB161" s="62"/>
      <c r="BC161" s="62"/>
      <c r="BD161" s="63"/>
      <c r="BE161" s="61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3"/>
      <c r="BR161" s="61">
        <f>SUM(Y161:BQ161)</f>
        <v>1</v>
      </c>
      <c r="BS161" s="63"/>
    </row>
    <row r="162" spans="1:71" s="16" customFormat="1" ht="16.5" customHeight="1" x14ac:dyDescent="0.25">
      <c r="A162" s="77"/>
      <c r="B162" s="78"/>
      <c r="C162" s="78"/>
      <c r="D162" s="78"/>
      <c r="E162" s="78"/>
      <c r="F162" s="78"/>
      <c r="G162" s="78"/>
      <c r="H162" s="78"/>
      <c r="I162" s="78"/>
      <c r="J162" s="79"/>
      <c r="K162" s="51"/>
      <c r="L162" s="52"/>
      <c r="M162" s="52"/>
      <c r="N162" s="52"/>
      <c r="O162" s="52"/>
      <c r="P162" s="52"/>
      <c r="Q162" s="52"/>
      <c r="R162" s="52"/>
      <c r="S162" s="52"/>
      <c r="T162" s="53"/>
      <c r="U162" s="56"/>
      <c r="V162" s="57"/>
      <c r="W162" s="102" t="s">
        <v>84</v>
      </c>
      <c r="X162" s="103"/>
      <c r="Y162" s="28"/>
      <c r="Z162" s="28"/>
      <c r="AA162" s="28"/>
      <c r="AB162" s="28"/>
      <c r="AC162" s="28"/>
      <c r="AD162" s="28"/>
      <c r="AE162" s="68"/>
      <c r="AF162" s="69"/>
      <c r="AG162" s="69"/>
      <c r="AH162" s="69"/>
      <c r="AI162" s="69"/>
      <c r="AJ162" s="70"/>
      <c r="AK162" s="33"/>
      <c r="AL162" s="67"/>
      <c r="AM162" s="67"/>
      <c r="AN162" s="67"/>
      <c r="AO162" s="67"/>
      <c r="AP162" s="67"/>
      <c r="AQ162" s="34"/>
      <c r="AR162" s="33"/>
      <c r="AS162" s="67"/>
      <c r="AT162" s="67"/>
      <c r="AU162" s="67"/>
      <c r="AV162" s="34"/>
      <c r="AW162" s="68"/>
      <c r="AX162" s="69"/>
      <c r="AY162" s="69"/>
      <c r="AZ162" s="69"/>
      <c r="BA162" s="69"/>
      <c r="BB162" s="69"/>
      <c r="BC162" s="69"/>
      <c r="BD162" s="70"/>
      <c r="BE162" s="36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8"/>
      <c r="BR162" s="33"/>
      <c r="BS162" s="34"/>
    </row>
    <row r="163" spans="1:71" s="16" customFormat="1" ht="11.5" x14ac:dyDescent="0.25">
      <c r="A163" s="74" t="s">
        <v>154</v>
      </c>
      <c r="B163" s="75"/>
      <c r="C163" s="75"/>
      <c r="D163" s="75"/>
      <c r="E163" s="75"/>
      <c r="F163" s="75"/>
      <c r="G163" s="75"/>
      <c r="H163" s="75"/>
      <c r="I163" s="75"/>
      <c r="J163" s="76"/>
      <c r="K163" s="48" t="s">
        <v>122</v>
      </c>
      <c r="L163" s="49"/>
      <c r="M163" s="49"/>
      <c r="N163" s="49"/>
      <c r="O163" s="49"/>
      <c r="P163" s="49"/>
      <c r="Q163" s="49"/>
      <c r="R163" s="49"/>
      <c r="S163" s="49"/>
      <c r="T163" s="50"/>
      <c r="U163" s="54"/>
      <c r="V163" s="55"/>
      <c r="W163" s="54" t="s">
        <v>83</v>
      </c>
      <c r="X163" s="55"/>
      <c r="Y163" s="80"/>
      <c r="Z163" s="81"/>
      <c r="AA163" s="81"/>
      <c r="AB163" s="81"/>
      <c r="AC163" s="81"/>
      <c r="AD163" s="82"/>
      <c r="AE163" s="61"/>
      <c r="AF163" s="62"/>
      <c r="AG163" s="62"/>
      <c r="AH163" s="62"/>
      <c r="AI163" s="62"/>
      <c r="AJ163" s="63"/>
      <c r="AK163" s="61"/>
      <c r="AL163" s="62"/>
      <c r="AM163" s="62"/>
      <c r="AN163" s="62"/>
      <c r="AO163" s="62"/>
      <c r="AP163" s="62"/>
      <c r="AQ163" s="63"/>
      <c r="AR163" s="104"/>
      <c r="AS163" s="105"/>
      <c r="AT163" s="105"/>
      <c r="AU163" s="105"/>
      <c r="AV163" s="106"/>
      <c r="AW163" s="61"/>
      <c r="AX163" s="62"/>
      <c r="AY163" s="62"/>
      <c r="AZ163" s="62"/>
      <c r="BA163" s="62"/>
      <c r="BB163" s="62"/>
      <c r="BC163" s="62"/>
      <c r="BD163" s="63"/>
      <c r="BE163" s="61">
        <v>1</v>
      </c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3"/>
      <c r="BR163" s="61">
        <f>SUM(Y163:BQ163)</f>
        <v>1</v>
      </c>
      <c r="BS163" s="63"/>
    </row>
    <row r="164" spans="1:71" s="16" customFormat="1" ht="11.5" x14ac:dyDescent="0.25">
      <c r="A164" s="77"/>
      <c r="B164" s="78"/>
      <c r="C164" s="78"/>
      <c r="D164" s="78"/>
      <c r="E164" s="78"/>
      <c r="F164" s="78"/>
      <c r="G164" s="78"/>
      <c r="H164" s="78"/>
      <c r="I164" s="78"/>
      <c r="J164" s="79"/>
      <c r="K164" s="51"/>
      <c r="L164" s="52"/>
      <c r="M164" s="52"/>
      <c r="N164" s="52"/>
      <c r="O164" s="52"/>
      <c r="P164" s="52"/>
      <c r="Q164" s="52"/>
      <c r="R164" s="52"/>
      <c r="S164" s="52"/>
      <c r="T164" s="53"/>
      <c r="U164" s="56"/>
      <c r="V164" s="57"/>
      <c r="W164" s="102" t="s">
        <v>84</v>
      </c>
      <c r="X164" s="103"/>
      <c r="Y164" s="28"/>
      <c r="Z164" s="28"/>
      <c r="AA164" s="28"/>
      <c r="AB164" s="28"/>
      <c r="AC164" s="28"/>
      <c r="AD164" s="28"/>
      <c r="AE164" s="68"/>
      <c r="AF164" s="69"/>
      <c r="AG164" s="69"/>
      <c r="AH164" s="69"/>
      <c r="AI164" s="69"/>
      <c r="AJ164" s="70"/>
      <c r="AK164" s="33"/>
      <c r="AL164" s="67"/>
      <c r="AM164" s="67"/>
      <c r="AN164" s="67"/>
      <c r="AO164" s="67"/>
      <c r="AP164" s="67"/>
      <c r="AQ164" s="34"/>
      <c r="AR164" s="33"/>
      <c r="AS164" s="67"/>
      <c r="AT164" s="67"/>
      <c r="AU164" s="67"/>
      <c r="AV164" s="34"/>
      <c r="AW164" s="68"/>
      <c r="AX164" s="69"/>
      <c r="AY164" s="69"/>
      <c r="AZ164" s="69"/>
      <c r="BA164" s="69"/>
      <c r="BB164" s="69"/>
      <c r="BC164" s="69"/>
      <c r="BD164" s="70"/>
      <c r="BE164" s="36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8"/>
      <c r="BR164" s="33"/>
      <c r="BS164" s="34"/>
    </row>
    <row r="165" spans="1:71" s="16" customFormat="1" ht="11.5" x14ac:dyDescent="0.25">
      <c r="A165" s="74" t="s">
        <v>155</v>
      </c>
      <c r="B165" s="75"/>
      <c r="C165" s="75"/>
      <c r="D165" s="75"/>
      <c r="E165" s="75"/>
      <c r="F165" s="75"/>
      <c r="G165" s="75"/>
      <c r="H165" s="75"/>
      <c r="I165" s="75"/>
      <c r="J165" s="76"/>
      <c r="K165" s="48" t="s">
        <v>156</v>
      </c>
      <c r="L165" s="49"/>
      <c r="M165" s="49"/>
      <c r="N165" s="49"/>
      <c r="O165" s="49"/>
      <c r="P165" s="49"/>
      <c r="Q165" s="49"/>
      <c r="R165" s="49"/>
      <c r="S165" s="49"/>
      <c r="T165" s="50"/>
      <c r="U165" s="54"/>
      <c r="V165" s="55"/>
      <c r="W165" s="54" t="s">
        <v>83</v>
      </c>
      <c r="X165" s="55"/>
      <c r="Y165" s="80"/>
      <c r="Z165" s="81"/>
      <c r="AA165" s="81"/>
      <c r="AB165" s="81"/>
      <c r="AC165" s="81"/>
      <c r="AD165" s="82"/>
      <c r="AE165" s="61"/>
      <c r="AF165" s="62"/>
      <c r="AG165" s="62"/>
      <c r="AH165" s="62"/>
      <c r="AI165" s="62"/>
      <c r="AJ165" s="63"/>
      <c r="AK165" s="61"/>
      <c r="AL165" s="62"/>
      <c r="AM165" s="62"/>
      <c r="AN165" s="62"/>
      <c r="AO165" s="62"/>
      <c r="AP165" s="62"/>
      <c r="AQ165" s="63"/>
      <c r="AR165" s="104"/>
      <c r="AS165" s="105"/>
      <c r="AT165" s="105"/>
      <c r="AU165" s="105"/>
      <c r="AV165" s="106"/>
      <c r="AW165" s="61"/>
      <c r="AX165" s="62"/>
      <c r="AY165" s="62"/>
      <c r="AZ165" s="62"/>
      <c r="BA165" s="62"/>
      <c r="BB165" s="62"/>
      <c r="BC165" s="62"/>
      <c r="BD165" s="63"/>
      <c r="BE165" s="61">
        <v>1</v>
      </c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3"/>
      <c r="BR165" s="61">
        <f>SUM(Y165:BQ165)</f>
        <v>1</v>
      </c>
      <c r="BS165" s="63"/>
    </row>
    <row r="166" spans="1:71" s="16" customFormat="1" ht="11.5" x14ac:dyDescent="0.25">
      <c r="A166" s="77"/>
      <c r="B166" s="78"/>
      <c r="C166" s="78"/>
      <c r="D166" s="78"/>
      <c r="E166" s="78"/>
      <c r="F166" s="78"/>
      <c r="G166" s="78"/>
      <c r="H166" s="78"/>
      <c r="I166" s="78"/>
      <c r="J166" s="79"/>
      <c r="K166" s="51"/>
      <c r="L166" s="52"/>
      <c r="M166" s="52"/>
      <c r="N166" s="52"/>
      <c r="O166" s="52"/>
      <c r="P166" s="52"/>
      <c r="Q166" s="52"/>
      <c r="R166" s="52"/>
      <c r="S166" s="52"/>
      <c r="T166" s="53"/>
      <c r="U166" s="56"/>
      <c r="V166" s="57"/>
      <c r="W166" s="102" t="s">
        <v>84</v>
      </c>
      <c r="X166" s="103"/>
      <c r="Y166" s="28"/>
      <c r="Z166" s="28"/>
      <c r="AA166" s="28"/>
      <c r="AB166" s="28"/>
      <c r="AC166" s="28"/>
      <c r="AD166" s="28"/>
      <c r="AE166" s="68"/>
      <c r="AF166" s="69"/>
      <c r="AG166" s="69"/>
      <c r="AH166" s="69"/>
      <c r="AI166" s="69"/>
      <c r="AJ166" s="70"/>
      <c r="AK166" s="33"/>
      <c r="AL166" s="67"/>
      <c r="AM166" s="67"/>
      <c r="AN166" s="67"/>
      <c r="AO166" s="67"/>
      <c r="AP166" s="67"/>
      <c r="AQ166" s="34"/>
      <c r="AR166" s="33"/>
      <c r="AS166" s="67"/>
      <c r="AT166" s="67"/>
      <c r="AU166" s="67"/>
      <c r="AV166" s="34"/>
      <c r="AW166" s="68"/>
      <c r="AX166" s="69"/>
      <c r="AY166" s="69"/>
      <c r="AZ166" s="69"/>
      <c r="BA166" s="69"/>
      <c r="BB166" s="69"/>
      <c r="BC166" s="69"/>
      <c r="BD166" s="70"/>
      <c r="BE166" s="36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8"/>
      <c r="BR166" s="33"/>
      <c r="BS166" s="34"/>
    </row>
    <row r="167" spans="1:71" s="16" customFormat="1" ht="11.5" x14ac:dyDescent="0.25">
      <c r="A167" s="74" t="s">
        <v>157</v>
      </c>
      <c r="B167" s="75"/>
      <c r="C167" s="75"/>
      <c r="D167" s="75"/>
      <c r="E167" s="75"/>
      <c r="F167" s="75"/>
      <c r="G167" s="75"/>
      <c r="H167" s="75"/>
      <c r="I167" s="75"/>
      <c r="J167" s="76"/>
      <c r="K167" s="48" t="s">
        <v>122</v>
      </c>
      <c r="L167" s="49"/>
      <c r="M167" s="49"/>
      <c r="N167" s="49"/>
      <c r="O167" s="49"/>
      <c r="P167" s="49"/>
      <c r="Q167" s="49"/>
      <c r="R167" s="49"/>
      <c r="S167" s="49"/>
      <c r="T167" s="50"/>
      <c r="U167" s="54"/>
      <c r="V167" s="55"/>
      <c r="W167" s="54" t="s">
        <v>83</v>
      </c>
      <c r="X167" s="55"/>
      <c r="Y167" s="80"/>
      <c r="Z167" s="81"/>
      <c r="AA167" s="81"/>
      <c r="AB167" s="81"/>
      <c r="AC167" s="81"/>
      <c r="AD167" s="82"/>
      <c r="AE167" s="61"/>
      <c r="AF167" s="62"/>
      <c r="AG167" s="62"/>
      <c r="AH167" s="62"/>
      <c r="AI167" s="62"/>
      <c r="AJ167" s="63"/>
      <c r="AK167" s="61"/>
      <c r="AL167" s="62"/>
      <c r="AM167" s="62"/>
      <c r="AN167" s="62"/>
      <c r="AO167" s="62"/>
      <c r="AP167" s="62"/>
      <c r="AQ167" s="63"/>
      <c r="AR167" s="104"/>
      <c r="AS167" s="105"/>
      <c r="AT167" s="105"/>
      <c r="AU167" s="105"/>
      <c r="AV167" s="106"/>
      <c r="AW167" s="61"/>
      <c r="AX167" s="62"/>
      <c r="AY167" s="62"/>
      <c r="AZ167" s="62"/>
      <c r="BA167" s="62"/>
      <c r="BB167" s="62"/>
      <c r="BC167" s="62"/>
      <c r="BD167" s="63"/>
      <c r="BE167" s="61">
        <v>1</v>
      </c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3"/>
      <c r="BR167" s="61">
        <f>SUM(Y167:BQ167)</f>
        <v>1</v>
      </c>
      <c r="BS167" s="63"/>
    </row>
    <row r="168" spans="1:71" s="16" customFormat="1" ht="11.5" x14ac:dyDescent="0.25">
      <c r="A168" s="77"/>
      <c r="B168" s="78"/>
      <c r="C168" s="78"/>
      <c r="D168" s="78"/>
      <c r="E168" s="78"/>
      <c r="F168" s="78"/>
      <c r="G168" s="78"/>
      <c r="H168" s="78"/>
      <c r="I168" s="78"/>
      <c r="J168" s="79"/>
      <c r="K168" s="51"/>
      <c r="L168" s="52"/>
      <c r="M168" s="52"/>
      <c r="N168" s="52"/>
      <c r="O168" s="52"/>
      <c r="P168" s="52"/>
      <c r="Q168" s="52"/>
      <c r="R168" s="52"/>
      <c r="S168" s="52"/>
      <c r="T168" s="53"/>
      <c r="U168" s="56"/>
      <c r="V168" s="57"/>
      <c r="W168" s="102" t="s">
        <v>84</v>
      </c>
      <c r="X168" s="103"/>
      <c r="Y168" s="28"/>
      <c r="Z168" s="28"/>
      <c r="AA168" s="28"/>
      <c r="AB168" s="28"/>
      <c r="AC168" s="28"/>
      <c r="AD168" s="28"/>
      <c r="AE168" s="68"/>
      <c r="AF168" s="69"/>
      <c r="AG168" s="69"/>
      <c r="AH168" s="69"/>
      <c r="AI168" s="69"/>
      <c r="AJ168" s="70"/>
      <c r="AK168" s="33"/>
      <c r="AL168" s="67"/>
      <c r="AM168" s="67"/>
      <c r="AN168" s="67"/>
      <c r="AO168" s="67"/>
      <c r="AP168" s="67"/>
      <c r="AQ168" s="34"/>
      <c r="AR168" s="33"/>
      <c r="AS168" s="67"/>
      <c r="AT168" s="67"/>
      <c r="AU168" s="67"/>
      <c r="AV168" s="34"/>
      <c r="AW168" s="68"/>
      <c r="AX168" s="69"/>
      <c r="AY168" s="69"/>
      <c r="AZ168" s="69"/>
      <c r="BA168" s="69"/>
      <c r="BB168" s="69"/>
      <c r="BC168" s="69"/>
      <c r="BD168" s="70"/>
      <c r="BE168" s="36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8"/>
      <c r="BR168" s="33"/>
      <c r="BS168" s="34"/>
    </row>
    <row r="169" spans="1:71" s="16" customFormat="1" ht="11.5" x14ac:dyDescent="0.25">
      <c r="A169" s="74" t="s">
        <v>158</v>
      </c>
      <c r="B169" s="75"/>
      <c r="C169" s="75"/>
      <c r="D169" s="75"/>
      <c r="E169" s="75"/>
      <c r="F169" s="75"/>
      <c r="G169" s="75"/>
      <c r="H169" s="75"/>
      <c r="I169" s="75"/>
      <c r="J169" s="76"/>
      <c r="K169" s="48" t="s">
        <v>159</v>
      </c>
      <c r="L169" s="49"/>
      <c r="M169" s="49"/>
      <c r="N169" s="49"/>
      <c r="O169" s="49"/>
      <c r="P169" s="49"/>
      <c r="Q169" s="49"/>
      <c r="R169" s="49"/>
      <c r="S169" s="49"/>
      <c r="T169" s="50"/>
      <c r="U169" s="54"/>
      <c r="V169" s="55"/>
      <c r="W169" s="54" t="s">
        <v>83</v>
      </c>
      <c r="X169" s="55"/>
      <c r="Y169" s="80"/>
      <c r="Z169" s="81"/>
      <c r="AA169" s="81"/>
      <c r="AB169" s="81"/>
      <c r="AC169" s="81"/>
      <c r="AD169" s="82"/>
      <c r="AE169" s="61"/>
      <c r="AF169" s="62"/>
      <c r="AG169" s="62"/>
      <c r="AH169" s="62"/>
      <c r="AI169" s="62"/>
      <c r="AJ169" s="63"/>
      <c r="AK169" s="61"/>
      <c r="AL169" s="62"/>
      <c r="AM169" s="62"/>
      <c r="AN169" s="62"/>
      <c r="AO169" s="62"/>
      <c r="AP169" s="62"/>
      <c r="AQ169" s="63"/>
      <c r="AR169" s="104">
        <v>1</v>
      </c>
      <c r="AS169" s="105"/>
      <c r="AT169" s="105"/>
      <c r="AU169" s="105"/>
      <c r="AV169" s="106"/>
      <c r="AW169" s="61"/>
      <c r="AX169" s="62"/>
      <c r="AY169" s="62"/>
      <c r="AZ169" s="62"/>
      <c r="BA169" s="62"/>
      <c r="BB169" s="62"/>
      <c r="BC169" s="62"/>
      <c r="BD169" s="63"/>
      <c r="BE169" s="61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3"/>
      <c r="BR169" s="61">
        <f>SUM(Y169:BQ169)</f>
        <v>1</v>
      </c>
      <c r="BS169" s="63"/>
    </row>
    <row r="170" spans="1:71" s="16" customFormat="1" ht="11.5" x14ac:dyDescent="0.25">
      <c r="A170" s="77"/>
      <c r="B170" s="78"/>
      <c r="C170" s="78"/>
      <c r="D170" s="78"/>
      <c r="E170" s="78"/>
      <c r="F170" s="78"/>
      <c r="G170" s="78"/>
      <c r="H170" s="78"/>
      <c r="I170" s="78"/>
      <c r="J170" s="79"/>
      <c r="K170" s="51"/>
      <c r="L170" s="52"/>
      <c r="M170" s="52"/>
      <c r="N170" s="52"/>
      <c r="O170" s="52"/>
      <c r="P170" s="52"/>
      <c r="Q170" s="52"/>
      <c r="R170" s="52"/>
      <c r="S170" s="52"/>
      <c r="T170" s="53"/>
      <c r="U170" s="56"/>
      <c r="V170" s="57"/>
      <c r="W170" s="102" t="s">
        <v>84</v>
      </c>
      <c r="X170" s="103"/>
      <c r="Y170" s="28"/>
      <c r="Z170" s="28"/>
      <c r="AA170" s="28"/>
      <c r="AB170" s="28"/>
      <c r="AC170" s="28"/>
      <c r="AD170" s="28"/>
      <c r="AE170" s="68"/>
      <c r="AF170" s="69"/>
      <c r="AG170" s="69"/>
      <c r="AH170" s="69"/>
      <c r="AI170" s="69"/>
      <c r="AJ170" s="70"/>
      <c r="AK170" s="33"/>
      <c r="AL170" s="67"/>
      <c r="AM170" s="67"/>
      <c r="AN170" s="67"/>
      <c r="AO170" s="67"/>
      <c r="AP170" s="67"/>
      <c r="AQ170" s="34"/>
      <c r="AR170" s="33"/>
      <c r="AS170" s="67"/>
      <c r="AT170" s="67"/>
      <c r="AU170" s="67"/>
      <c r="AV170" s="34"/>
      <c r="AW170" s="68"/>
      <c r="AX170" s="69"/>
      <c r="AY170" s="69"/>
      <c r="AZ170" s="69"/>
      <c r="BA170" s="69"/>
      <c r="BB170" s="69"/>
      <c r="BC170" s="69"/>
      <c r="BD170" s="70"/>
      <c r="BE170" s="36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8"/>
      <c r="BR170" s="33"/>
      <c r="BS170" s="34"/>
    </row>
    <row r="171" spans="1:71" s="16" customFormat="1" ht="11.5" x14ac:dyDescent="0.25">
      <c r="A171" s="74" t="s">
        <v>160</v>
      </c>
      <c r="B171" s="75"/>
      <c r="C171" s="75"/>
      <c r="D171" s="75"/>
      <c r="E171" s="75"/>
      <c r="F171" s="75"/>
      <c r="G171" s="75"/>
      <c r="H171" s="75"/>
      <c r="I171" s="75"/>
      <c r="J171" s="76"/>
      <c r="K171" s="48" t="s">
        <v>161</v>
      </c>
      <c r="L171" s="49"/>
      <c r="M171" s="49"/>
      <c r="N171" s="49"/>
      <c r="O171" s="49"/>
      <c r="P171" s="49"/>
      <c r="Q171" s="49"/>
      <c r="R171" s="49"/>
      <c r="S171" s="49"/>
      <c r="T171" s="50"/>
      <c r="U171" s="54"/>
      <c r="V171" s="55"/>
      <c r="W171" s="54" t="s">
        <v>83</v>
      </c>
      <c r="X171" s="55"/>
      <c r="Y171" s="80"/>
      <c r="Z171" s="81"/>
      <c r="AA171" s="81"/>
      <c r="AB171" s="81"/>
      <c r="AC171" s="81"/>
      <c r="AD171" s="82"/>
      <c r="AE171" s="61"/>
      <c r="AF171" s="62"/>
      <c r="AG171" s="62"/>
      <c r="AH171" s="62"/>
      <c r="AI171" s="62"/>
      <c r="AJ171" s="63"/>
      <c r="AK171" s="61"/>
      <c r="AL171" s="62"/>
      <c r="AM171" s="62"/>
      <c r="AN171" s="62"/>
      <c r="AO171" s="62"/>
      <c r="AP171" s="62"/>
      <c r="AQ171" s="63"/>
      <c r="AR171" s="104">
        <v>3</v>
      </c>
      <c r="AS171" s="105"/>
      <c r="AT171" s="105"/>
      <c r="AU171" s="105"/>
      <c r="AV171" s="106"/>
      <c r="AW171" s="61"/>
      <c r="AX171" s="62"/>
      <c r="AY171" s="62"/>
      <c r="AZ171" s="62"/>
      <c r="BA171" s="62"/>
      <c r="BB171" s="62"/>
      <c r="BC171" s="62"/>
      <c r="BD171" s="63"/>
      <c r="BE171" s="61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3"/>
      <c r="BR171" s="61">
        <f>SUM(Y171:BQ171)</f>
        <v>3</v>
      </c>
      <c r="BS171" s="63"/>
    </row>
    <row r="172" spans="1:71" s="16" customFormat="1" ht="11.5" x14ac:dyDescent="0.25">
      <c r="A172" s="77"/>
      <c r="B172" s="78"/>
      <c r="C172" s="78"/>
      <c r="D172" s="78"/>
      <c r="E172" s="78"/>
      <c r="F172" s="78"/>
      <c r="G172" s="78"/>
      <c r="H172" s="78"/>
      <c r="I172" s="78"/>
      <c r="J172" s="79"/>
      <c r="K172" s="51"/>
      <c r="L172" s="52"/>
      <c r="M172" s="52"/>
      <c r="N172" s="52"/>
      <c r="O172" s="52"/>
      <c r="P172" s="52"/>
      <c r="Q172" s="52"/>
      <c r="R172" s="52"/>
      <c r="S172" s="52"/>
      <c r="T172" s="53"/>
      <c r="U172" s="56"/>
      <c r="V172" s="57"/>
      <c r="W172" s="102" t="s">
        <v>84</v>
      </c>
      <c r="X172" s="103"/>
      <c r="Y172" s="28"/>
      <c r="Z172" s="28"/>
      <c r="AA172" s="28"/>
      <c r="AB172" s="28"/>
      <c r="AC172" s="28"/>
      <c r="AD172" s="28"/>
      <c r="AE172" s="68"/>
      <c r="AF172" s="69"/>
      <c r="AG172" s="69"/>
      <c r="AH172" s="69"/>
      <c r="AI172" s="69"/>
      <c r="AJ172" s="70"/>
      <c r="AK172" s="33"/>
      <c r="AL172" s="67"/>
      <c r="AM172" s="67"/>
      <c r="AN172" s="67"/>
      <c r="AO172" s="67"/>
      <c r="AP172" s="67"/>
      <c r="AQ172" s="34"/>
      <c r="AR172" s="33"/>
      <c r="AS172" s="67"/>
      <c r="AT172" s="67"/>
      <c r="AU172" s="67"/>
      <c r="AV172" s="34"/>
      <c r="AW172" s="68"/>
      <c r="AX172" s="69"/>
      <c r="AY172" s="69"/>
      <c r="AZ172" s="69"/>
      <c r="BA172" s="69"/>
      <c r="BB172" s="69"/>
      <c r="BC172" s="69"/>
      <c r="BD172" s="70"/>
      <c r="BE172" s="36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8"/>
      <c r="BR172" s="33"/>
      <c r="BS172" s="34"/>
    </row>
    <row r="173" spans="1:71" ht="10.9" customHeight="1" x14ac:dyDescent="0.25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  <c r="BP173" s="136"/>
      <c r="BQ173" s="136"/>
      <c r="BR173" s="136"/>
      <c r="BS173" s="136"/>
    </row>
    <row r="174" spans="1:71" ht="13.4" customHeight="1" x14ac:dyDescent="0.25">
      <c r="A174" s="186" t="s">
        <v>162</v>
      </c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</row>
    <row r="175" spans="1:71" ht="10.9" customHeight="1" x14ac:dyDescent="0.25">
      <c r="A175" s="185" t="s">
        <v>163</v>
      </c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  <c r="BM175" s="185"/>
      <c r="BN175" s="185"/>
      <c r="BO175" s="185"/>
      <c r="BP175" s="185"/>
      <c r="BQ175" s="185"/>
      <c r="BR175" s="185"/>
      <c r="BS175" s="185"/>
    </row>
    <row r="176" spans="1:71" ht="22" customHeight="1" x14ac:dyDescent="0.25">
      <c r="A176" s="107" t="s">
        <v>113</v>
      </c>
      <c r="B176" s="108"/>
      <c r="C176" s="108"/>
      <c r="D176" s="108"/>
      <c r="E176" s="108"/>
      <c r="F176" s="108"/>
      <c r="G176" s="108"/>
      <c r="H176" s="108"/>
      <c r="I176" s="108"/>
      <c r="J176" s="109"/>
      <c r="K176" s="107" t="s">
        <v>164</v>
      </c>
      <c r="L176" s="108"/>
      <c r="M176" s="108"/>
      <c r="N176" s="108"/>
      <c r="O176" s="108"/>
      <c r="P176" s="108"/>
      <c r="Q176" s="108"/>
      <c r="R176" s="108"/>
      <c r="S176" s="108"/>
      <c r="T176" s="109"/>
      <c r="U176" s="107"/>
      <c r="V176" s="109"/>
      <c r="W176" s="107"/>
      <c r="X176" s="109"/>
      <c r="Y176" s="107" t="s">
        <v>114</v>
      </c>
      <c r="Z176" s="108"/>
      <c r="AA176" s="108"/>
      <c r="AB176" s="108"/>
      <c r="AC176" s="108"/>
      <c r="AD176" s="109"/>
      <c r="AE176" s="99" t="s">
        <v>75</v>
      </c>
      <c r="AF176" s="100"/>
      <c r="AG176" s="100"/>
      <c r="AH176" s="100"/>
      <c r="AI176" s="100"/>
      <c r="AJ176" s="101"/>
      <c r="AK176" s="99" t="s">
        <v>76</v>
      </c>
      <c r="AL176" s="100"/>
      <c r="AM176" s="100"/>
      <c r="AN176" s="100"/>
      <c r="AO176" s="100"/>
      <c r="AP176" s="100"/>
      <c r="AQ176" s="101"/>
      <c r="AR176" s="99" t="s">
        <v>77</v>
      </c>
      <c r="AS176" s="100"/>
      <c r="AT176" s="100"/>
      <c r="AU176" s="100"/>
      <c r="AV176" s="101"/>
      <c r="AW176" s="99" t="s">
        <v>78</v>
      </c>
      <c r="AX176" s="100"/>
      <c r="AY176" s="100"/>
      <c r="AZ176" s="100"/>
      <c r="BA176" s="100"/>
      <c r="BB176" s="100"/>
      <c r="BC176" s="100"/>
      <c r="BD176" s="101"/>
      <c r="BE176" s="99" t="s">
        <v>79</v>
      </c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1"/>
      <c r="BR176" s="107" t="s">
        <v>165</v>
      </c>
      <c r="BS176" s="109"/>
    </row>
    <row r="177" spans="1:73" s="8" customFormat="1" ht="13.5" customHeight="1" x14ac:dyDescent="0.25">
      <c r="A177" s="132" t="str">
        <f>+A116</f>
        <v>Componente 1:  Reducción de los niveles de agua no contabilizada</v>
      </c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132"/>
      <c r="AQ177" s="132"/>
      <c r="AR177" s="132"/>
      <c r="AS177" s="132"/>
      <c r="AT177" s="132"/>
      <c r="AU177" s="132"/>
      <c r="AV177" s="132"/>
      <c r="AW177" s="132"/>
      <c r="AX177" s="132"/>
      <c r="AY177" s="132"/>
      <c r="AZ177" s="132"/>
      <c r="BA177" s="132"/>
      <c r="BB177" s="132"/>
      <c r="BC177" s="132"/>
      <c r="BD177" s="132"/>
      <c r="BE177" s="132"/>
      <c r="BF177" s="132"/>
      <c r="BG177" s="132"/>
      <c r="BH177" s="132"/>
      <c r="BI177" s="132"/>
      <c r="BJ177" s="132"/>
      <c r="BK177" s="132"/>
      <c r="BL177" s="132"/>
      <c r="BM177" s="132"/>
      <c r="BN177" s="132"/>
      <c r="BO177" s="132"/>
      <c r="BP177" s="132"/>
      <c r="BQ177" s="132"/>
      <c r="BR177" s="132"/>
      <c r="BS177" s="132"/>
    </row>
    <row r="178" spans="1:73" s="16" customFormat="1" ht="23.25" customHeight="1" x14ac:dyDescent="0.25">
      <c r="A178" s="74" t="str">
        <f>+A117</f>
        <v>Sectorización, regulación y monitoreo de la red de distribución de Zona Norte implementada</v>
      </c>
      <c r="B178" s="75"/>
      <c r="C178" s="75"/>
      <c r="D178" s="75"/>
      <c r="E178" s="75"/>
      <c r="F178" s="75"/>
      <c r="G178" s="75"/>
      <c r="H178" s="75"/>
      <c r="I178" s="75"/>
      <c r="J178" s="76"/>
      <c r="K178" s="87">
        <v>12926000</v>
      </c>
      <c r="L178" s="88"/>
      <c r="M178" s="88"/>
      <c r="N178" s="88"/>
      <c r="O178" s="88"/>
      <c r="P178" s="88"/>
      <c r="Q178" s="88"/>
      <c r="R178" s="88"/>
      <c r="S178" s="88"/>
      <c r="T178" s="89"/>
      <c r="U178" s="126"/>
      <c r="V178" s="126"/>
      <c r="W178" s="245" t="s">
        <v>83</v>
      </c>
      <c r="X178" s="246"/>
      <c r="Y178" s="117">
        <v>0</v>
      </c>
      <c r="Z178" s="118"/>
      <c r="AA178" s="118"/>
      <c r="AB178" s="118"/>
      <c r="AC178" s="118"/>
      <c r="AD178" s="119"/>
      <c r="AE178" s="117">
        <v>1641602</v>
      </c>
      <c r="AF178" s="118"/>
      <c r="AG178" s="118"/>
      <c r="AH178" s="118"/>
      <c r="AI178" s="118"/>
      <c r="AJ178" s="119"/>
      <c r="AK178" s="117">
        <v>1880733</v>
      </c>
      <c r="AL178" s="118"/>
      <c r="AM178" s="118"/>
      <c r="AN178" s="118"/>
      <c r="AO178" s="118"/>
      <c r="AP178" s="118"/>
      <c r="AQ178" s="119"/>
      <c r="AR178" s="117">
        <v>6269110</v>
      </c>
      <c r="AS178" s="118"/>
      <c r="AT178" s="118"/>
      <c r="AU178" s="118"/>
      <c r="AV178" s="119"/>
      <c r="AW178" s="117">
        <v>3134555</v>
      </c>
      <c r="AX178" s="118"/>
      <c r="AY178" s="118"/>
      <c r="AZ178" s="118"/>
      <c r="BA178" s="118"/>
      <c r="BB178" s="118"/>
      <c r="BC178" s="118"/>
      <c r="BD178" s="119"/>
      <c r="BE178" s="117">
        <v>0</v>
      </c>
      <c r="BF178" s="118"/>
      <c r="BG178" s="118"/>
      <c r="BH178" s="118"/>
      <c r="BI178" s="118"/>
      <c r="BJ178" s="118"/>
      <c r="BK178" s="118"/>
      <c r="BL178" s="118"/>
      <c r="BM178" s="118"/>
      <c r="BN178" s="118"/>
      <c r="BO178" s="118"/>
      <c r="BP178" s="118"/>
      <c r="BQ178" s="119"/>
      <c r="BR178" s="237">
        <f>SUM(Y178:BQ178)</f>
        <v>12926000</v>
      </c>
      <c r="BS178" s="238"/>
    </row>
    <row r="179" spans="1:73" s="16" customFormat="1" ht="18" customHeight="1" x14ac:dyDescent="0.25">
      <c r="A179" s="77"/>
      <c r="B179" s="78"/>
      <c r="C179" s="78"/>
      <c r="D179" s="78"/>
      <c r="E179" s="78"/>
      <c r="F179" s="78"/>
      <c r="G179" s="78"/>
      <c r="H179" s="78"/>
      <c r="I179" s="78"/>
      <c r="J179" s="79"/>
      <c r="K179" s="123"/>
      <c r="L179" s="124"/>
      <c r="M179" s="124"/>
      <c r="N179" s="124"/>
      <c r="O179" s="124"/>
      <c r="P179" s="124"/>
      <c r="Q179" s="124"/>
      <c r="R179" s="124"/>
      <c r="S179" s="124"/>
      <c r="T179" s="125"/>
      <c r="U179" s="127"/>
      <c r="V179" s="127"/>
      <c r="W179" s="140" t="s">
        <v>84</v>
      </c>
      <c r="X179" s="140"/>
      <c r="Y179" s="120"/>
      <c r="Z179" s="121"/>
      <c r="AA179" s="121"/>
      <c r="AB179" s="121"/>
      <c r="AC179" s="121"/>
      <c r="AD179" s="122"/>
      <c r="AE179" s="141"/>
      <c r="AF179" s="141"/>
      <c r="AG179" s="141"/>
      <c r="AH179" s="141"/>
      <c r="AI179" s="141"/>
      <c r="AJ179" s="141"/>
      <c r="AK179" s="141"/>
      <c r="AL179" s="141"/>
      <c r="AM179" s="141"/>
      <c r="AN179" s="141"/>
      <c r="AO179" s="141"/>
      <c r="AP179" s="141"/>
      <c r="AQ179" s="141"/>
      <c r="AR179" s="141"/>
      <c r="AS179" s="141"/>
      <c r="AT179" s="141"/>
      <c r="AU179" s="141"/>
      <c r="AV179" s="141"/>
      <c r="AW179" s="141"/>
      <c r="AX179" s="141"/>
      <c r="AY179" s="141"/>
      <c r="AZ179" s="141"/>
      <c r="BA179" s="141"/>
      <c r="BB179" s="141"/>
      <c r="BC179" s="141"/>
      <c r="BD179" s="141"/>
      <c r="BE179" s="120"/>
      <c r="BF179" s="121"/>
      <c r="BG179" s="121"/>
      <c r="BH179" s="121"/>
      <c r="BI179" s="121"/>
      <c r="BJ179" s="121"/>
      <c r="BK179" s="121"/>
      <c r="BL179" s="121"/>
      <c r="BM179" s="121"/>
      <c r="BN179" s="121"/>
      <c r="BO179" s="121"/>
      <c r="BP179" s="121"/>
      <c r="BQ179" s="122"/>
      <c r="BR179" s="116"/>
      <c r="BS179" s="116"/>
    </row>
    <row r="180" spans="1:73" s="16" customFormat="1" ht="23.25" customHeight="1" x14ac:dyDescent="0.25">
      <c r="A180" s="74" t="str">
        <f>+A119</f>
        <v>Micromedidores adquiridos e instalados</v>
      </c>
      <c r="B180" s="75"/>
      <c r="C180" s="75"/>
      <c r="D180" s="75"/>
      <c r="E180" s="75"/>
      <c r="F180" s="75"/>
      <c r="G180" s="75"/>
      <c r="H180" s="75"/>
      <c r="I180" s="75"/>
      <c r="J180" s="76"/>
      <c r="K180" s="87">
        <v>9170000</v>
      </c>
      <c r="L180" s="88"/>
      <c r="M180" s="88"/>
      <c r="N180" s="88"/>
      <c r="O180" s="88"/>
      <c r="P180" s="88"/>
      <c r="Q180" s="88"/>
      <c r="R180" s="88"/>
      <c r="S180" s="88"/>
      <c r="T180" s="89"/>
      <c r="U180" s="126"/>
      <c r="V180" s="126"/>
      <c r="W180" s="245" t="s">
        <v>83</v>
      </c>
      <c r="X180" s="246"/>
      <c r="Y180" s="117">
        <v>0</v>
      </c>
      <c r="Z180" s="118"/>
      <c r="AA180" s="118"/>
      <c r="AB180" s="118"/>
      <c r="AC180" s="118"/>
      <c r="AD180" s="119"/>
      <c r="AE180" s="117">
        <v>0</v>
      </c>
      <c r="AF180" s="118"/>
      <c r="AG180" s="118"/>
      <c r="AH180" s="118"/>
      <c r="AI180" s="118"/>
      <c r="AJ180" s="119"/>
      <c r="AK180" s="117">
        <v>1834000</v>
      </c>
      <c r="AL180" s="118"/>
      <c r="AM180" s="118"/>
      <c r="AN180" s="118"/>
      <c r="AO180" s="118"/>
      <c r="AP180" s="118"/>
      <c r="AQ180" s="119"/>
      <c r="AR180" s="117">
        <v>2751000</v>
      </c>
      <c r="AS180" s="118"/>
      <c r="AT180" s="118"/>
      <c r="AU180" s="118"/>
      <c r="AV180" s="119"/>
      <c r="AW180" s="117">
        <v>4585000</v>
      </c>
      <c r="AX180" s="118"/>
      <c r="AY180" s="118"/>
      <c r="AZ180" s="118"/>
      <c r="BA180" s="118"/>
      <c r="BB180" s="118"/>
      <c r="BC180" s="118"/>
      <c r="BD180" s="119"/>
      <c r="BE180" s="117">
        <v>0</v>
      </c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9"/>
      <c r="BR180" s="237">
        <f>SUM(Y180:BQ180)</f>
        <v>9170000</v>
      </c>
      <c r="BS180" s="238"/>
    </row>
    <row r="181" spans="1:73" s="16" customFormat="1" ht="18" customHeight="1" x14ac:dyDescent="0.25">
      <c r="A181" s="77"/>
      <c r="B181" s="78"/>
      <c r="C181" s="78"/>
      <c r="D181" s="78"/>
      <c r="E181" s="78"/>
      <c r="F181" s="78"/>
      <c r="G181" s="78"/>
      <c r="H181" s="78"/>
      <c r="I181" s="78"/>
      <c r="J181" s="79"/>
      <c r="K181" s="123"/>
      <c r="L181" s="124"/>
      <c r="M181" s="124"/>
      <c r="N181" s="124"/>
      <c r="O181" s="124"/>
      <c r="P181" s="124"/>
      <c r="Q181" s="124"/>
      <c r="R181" s="124"/>
      <c r="S181" s="124"/>
      <c r="T181" s="125"/>
      <c r="U181" s="127"/>
      <c r="V181" s="127"/>
      <c r="W181" s="140" t="s">
        <v>84</v>
      </c>
      <c r="X181" s="140"/>
      <c r="Y181" s="120"/>
      <c r="Z181" s="121"/>
      <c r="AA181" s="121"/>
      <c r="AB181" s="121"/>
      <c r="AC181" s="121"/>
      <c r="AD181" s="122"/>
      <c r="AE181" s="141"/>
      <c r="AF181" s="141"/>
      <c r="AG181" s="141"/>
      <c r="AH181" s="141"/>
      <c r="AI181" s="141"/>
      <c r="AJ181" s="141"/>
      <c r="AK181" s="141"/>
      <c r="AL181" s="141"/>
      <c r="AM181" s="141"/>
      <c r="AN181" s="141"/>
      <c r="AO181" s="141"/>
      <c r="AP181" s="141"/>
      <c r="AQ181" s="141"/>
      <c r="AR181" s="141"/>
      <c r="AS181" s="141"/>
      <c r="AT181" s="141"/>
      <c r="AU181" s="141"/>
      <c r="AV181" s="141"/>
      <c r="AW181" s="141"/>
      <c r="AX181" s="141"/>
      <c r="AY181" s="141"/>
      <c r="AZ181" s="141"/>
      <c r="BA181" s="141"/>
      <c r="BB181" s="141"/>
      <c r="BC181" s="141"/>
      <c r="BD181" s="141"/>
      <c r="BE181" s="120"/>
      <c r="BF181" s="121"/>
      <c r="BG181" s="121"/>
      <c r="BH181" s="121"/>
      <c r="BI181" s="121"/>
      <c r="BJ181" s="121"/>
      <c r="BK181" s="121"/>
      <c r="BL181" s="121"/>
      <c r="BM181" s="121"/>
      <c r="BN181" s="121"/>
      <c r="BO181" s="121"/>
      <c r="BP181" s="121"/>
      <c r="BQ181" s="122"/>
      <c r="BR181" s="116"/>
      <c r="BS181" s="116"/>
    </row>
    <row r="182" spans="1:73" s="16" customFormat="1" ht="11.5" x14ac:dyDescent="0.25">
      <c r="A182" s="74" t="str">
        <f>+A121</f>
        <v>Plan de Gestión y operación en AP&amp;S de ANDA fortalecida</v>
      </c>
      <c r="B182" s="75"/>
      <c r="C182" s="75"/>
      <c r="D182" s="75"/>
      <c r="E182" s="75"/>
      <c r="F182" s="75"/>
      <c r="G182" s="75"/>
      <c r="H182" s="75"/>
      <c r="I182" s="75"/>
      <c r="J182" s="76"/>
      <c r="K182" s="87">
        <f>+K184+K186</f>
        <v>3204352</v>
      </c>
      <c r="L182" s="88"/>
      <c r="M182" s="88"/>
      <c r="N182" s="88"/>
      <c r="O182" s="88"/>
      <c r="P182" s="88"/>
      <c r="Q182" s="88"/>
      <c r="R182" s="88"/>
      <c r="S182" s="88"/>
      <c r="T182" s="89"/>
      <c r="U182" s="126"/>
      <c r="V182" s="126"/>
      <c r="W182" s="245" t="s">
        <v>83</v>
      </c>
      <c r="X182" s="246"/>
      <c r="Y182" s="117">
        <v>0</v>
      </c>
      <c r="Z182" s="118"/>
      <c r="AA182" s="118"/>
      <c r="AB182" s="118"/>
      <c r="AC182" s="118"/>
      <c r="AD182" s="119"/>
      <c r="AE182" s="117">
        <f>+AE184+AE186</f>
        <v>1602176</v>
      </c>
      <c r="AF182" s="118"/>
      <c r="AG182" s="118"/>
      <c r="AH182" s="118"/>
      <c r="AI182" s="118"/>
      <c r="AJ182" s="119"/>
      <c r="AK182" s="117">
        <f>+AK184+AK186</f>
        <v>640870</v>
      </c>
      <c r="AL182" s="118"/>
      <c r="AM182" s="118"/>
      <c r="AN182" s="118"/>
      <c r="AO182" s="118"/>
      <c r="AP182" s="118"/>
      <c r="AQ182" s="119"/>
      <c r="AR182" s="117">
        <f>+AR184+AR186</f>
        <v>961306</v>
      </c>
      <c r="AS182" s="118"/>
      <c r="AT182" s="118"/>
      <c r="AU182" s="118"/>
      <c r="AV182" s="119"/>
      <c r="AW182" s="117">
        <f>+AW184+AW186</f>
        <v>0</v>
      </c>
      <c r="AX182" s="118"/>
      <c r="AY182" s="118"/>
      <c r="AZ182" s="118"/>
      <c r="BA182" s="118"/>
      <c r="BB182" s="118"/>
      <c r="BC182" s="118"/>
      <c r="BD182" s="119"/>
      <c r="BE182" s="117">
        <f>+BE184+BE186</f>
        <v>0</v>
      </c>
      <c r="BF182" s="118"/>
      <c r="BG182" s="118"/>
      <c r="BH182" s="118"/>
      <c r="BI182" s="118"/>
      <c r="BJ182" s="118"/>
      <c r="BK182" s="118"/>
      <c r="BL182" s="118"/>
      <c r="BM182" s="118"/>
      <c r="BN182" s="118"/>
      <c r="BO182" s="118"/>
      <c r="BP182" s="118"/>
      <c r="BQ182" s="119"/>
      <c r="BR182" s="237">
        <f>SUM(Y182:BQ182)</f>
        <v>3204352</v>
      </c>
      <c r="BS182" s="238"/>
    </row>
    <row r="183" spans="1:73" s="16" customFormat="1" ht="11.5" x14ac:dyDescent="0.25">
      <c r="A183" s="77"/>
      <c r="B183" s="78"/>
      <c r="C183" s="78"/>
      <c r="D183" s="78"/>
      <c r="E183" s="78"/>
      <c r="F183" s="78"/>
      <c r="G183" s="78"/>
      <c r="H183" s="78"/>
      <c r="I183" s="78"/>
      <c r="J183" s="79"/>
      <c r="K183" s="123"/>
      <c r="L183" s="124"/>
      <c r="M183" s="124"/>
      <c r="N183" s="124"/>
      <c r="O183" s="124"/>
      <c r="P183" s="124"/>
      <c r="Q183" s="124"/>
      <c r="R183" s="124"/>
      <c r="S183" s="124"/>
      <c r="T183" s="125"/>
      <c r="U183" s="127"/>
      <c r="V183" s="127"/>
      <c r="W183" s="140" t="s">
        <v>84</v>
      </c>
      <c r="X183" s="140"/>
      <c r="Y183" s="120"/>
      <c r="Z183" s="121"/>
      <c r="AA183" s="121"/>
      <c r="AB183" s="121"/>
      <c r="AC183" s="121"/>
      <c r="AD183" s="122"/>
      <c r="AE183" s="141"/>
      <c r="AF183" s="141"/>
      <c r="AG183" s="141"/>
      <c r="AH183" s="141"/>
      <c r="AI183" s="141"/>
      <c r="AJ183" s="141"/>
      <c r="AK183" s="141"/>
      <c r="AL183" s="141"/>
      <c r="AM183" s="141"/>
      <c r="AN183" s="141"/>
      <c r="AO183" s="141"/>
      <c r="AP183" s="141"/>
      <c r="AQ183" s="141"/>
      <c r="AR183" s="141"/>
      <c r="AS183" s="141"/>
      <c r="AT183" s="141"/>
      <c r="AU183" s="141"/>
      <c r="AV183" s="141"/>
      <c r="AW183" s="141"/>
      <c r="AX183" s="141"/>
      <c r="AY183" s="141"/>
      <c r="AZ183" s="141"/>
      <c r="BA183" s="141"/>
      <c r="BB183" s="141"/>
      <c r="BC183" s="141"/>
      <c r="BD183" s="141"/>
      <c r="BE183" s="120"/>
      <c r="BF183" s="121"/>
      <c r="BG183" s="121"/>
      <c r="BH183" s="121"/>
      <c r="BI183" s="121"/>
      <c r="BJ183" s="121"/>
      <c r="BK183" s="121"/>
      <c r="BL183" s="121"/>
      <c r="BM183" s="121"/>
      <c r="BN183" s="121"/>
      <c r="BO183" s="121"/>
      <c r="BP183" s="121"/>
      <c r="BQ183" s="122"/>
      <c r="BR183" s="116"/>
      <c r="BS183" s="116"/>
      <c r="BU183" s="20"/>
    </row>
    <row r="184" spans="1:73" s="31" customFormat="1" ht="11.5" x14ac:dyDescent="0.25">
      <c r="A184" s="301" t="str">
        <f>+A123</f>
        <v>Hito: Equipos para gestión  adquiridos</v>
      </c>
      <c r="B184" s="302"/>
      <c r="C184" s="302"/>
      <c r="D184" s="302"/>
      <c r="E184" s="302"/>
      <c r="F184" s="302"/>
      <c r="G184" s="302"/>
      <c r="H184" s="302"/>
      <c r="I184" s="302"/>
      <c r="J184" s="303"/>
      <c r="K184" s="307">
        <v>1000000</v>
      </c>
      <c r="L184" s="308"/>
      <c r="M184" s="308"/>
      <c r="N184" s="308"/>
      <c r="O184" s="308"/>
      <c r="P184" s="308"/>
      <c r="Q184" s="308"/>
      <c r="R184" s="308"/>
      <c r="S184" s="308"/>
      <c r="T184" s="309"/>
      <c r="U184" s="313"/>
      <c r="V184" s="313"/>
      <c r="W184" s="315" t="s">
        <v>83</v>
      </c>
      <c r="X184" s="316"/>
      <c r="Y184" s="317">
        <v>0</v>
      </c>
      <c r="Z184" s="318"/>
      <c r="AA184" s="318"/>
      <c r="AB184" s="318"/>
      <c r="AC184" s="318"/>
      <c r="AD184" s="319"/>
      <c r="AE184" s="317">
        <v>500000</v>
      </c>
      <c r="AF184" s="318"/>
      <c r="AG184" s="318"/>
      <c r="AH184" s="318"/>
      <c r="AI184" s="318"/>
      <c r="AJ184" s="319"/>
      <c r="AK184" s="317">
        <v>200000</v>
      </c>
      <c r="AL184" s="318"/>
      <c r="AM184" s="318"/>
      <c r="AN184" s="318"/>
      <c r="AO184" s="318"/>
      <c r="AP184" s="318"/>
      <c r="AQ184" s="319"/>
      <c r="AR184" s="317">
        <v>300000</v>
      </c>
      <c r="AS184" s="318"/>
      <c r="AT184" s="318"/>
      <c r="AU184" s="318"/>
      <c r="AV184" s="319"/>
      <c r="AW184" s="317">
        <v>0</v>
      </c>
      <c r="AX184" s="318"/>
      <c r="AY184" s="318"/>
      <c r="AZ184" s="318"/>
      <c r="BA184" s="318"/>
      <c r="BB184" s="318"/>
      <c r="BC184" s="318"/>
      <c r="BD184" s="319"/>
      <c r="BE184" s="317">
        <v>0</v>
      </c>
      <c r="BF184" s="318"/>
      <c r="BG184" s="318"/>
      <c r="BH184" s="318"/>
      <c r="BI184" s="318"/>
      <c r="BJ184" s="318"/>
      <c r="BK184" s="318"/>
      <c r="BL184" s="318"/>
      <c r="BM184" s="318"/>
      <c r="BN184" s="318"/>
      <c r="BO184" s="318"/>
      <c r="BP184" s="318"/>
      <c r="BQ184" s="319"/>
      <c r="BR184" s="320">
        <f>SUM(Y184:BQ184)</f>
        <v>1000000</v>
      </c>
      <c r="BS184" s="321"/>
    </row>
    <row r="185" spans="1:73" s="31" customFormat="1" ht="11.5" x14ac:dyDescent="0.25">
      <c r="A185" s="304"/>
      <c r="B185" s="305"/>
      <c r="C185" s="305"/>
      <c r="D185" s="305"/>
      <c r="E185" s="305"/>
      <c r="F185" s="305"/>
      <c r="G185" s="305"/>
      <c r="H185" s="305"/>
      <c r="I185" s="305"/>
      <c r="J185" s="306"/>
      <c r="K185" s="310"/>
      <c r="L185" s="311"/>
      <c r="M185" s="311"/>
      <c r="N185" s="311"/>
      <c r="O185" s="311"/>
      <c r="P185" s="311"/>
      <c r="Q185" s="311"/>
      <c r="R185" s="311"/>
      <c r="S185" s="311"/>
      <c r="T185" s="312"/>
      <c r="U185" s="314"/>
      <c r="V185" s="314"/>
      <c r="W185" s="322" t="s">
        <v>84</v>
      </c>
      <c r="X185" s="322"/>
      <c r="Y185" s="323"/>
      <c r="Z185" s="324"/>
      <c r="AA185" s="324"/>
      <c r="AB185" s="324"/>
      <c r="AC185" s="324"/>
      <c r="AD185" s="325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  <c r="AO185" s="326"/>
      <c r="AP185" s="326"/>
      <c r="AQ185" s="326"/>
      <c r="AR185" s="326"/>
      <c r="AS185" s="326"/>
      <c r="AT185" s="326"/>
      <c r="AU185" s="326"/>
      <c r="AV185" s="326"/>
      <c r="AW185" s="326"/>
      <c r="AX185" s="326"/>
      <c r="AY185" s="326"/>
      <c r="AZ185" s="326"/>
      <c r="BA185" s="326"/>
      <c r="BB185" s="326"/>
      <c r="BC185" s="326"/>
      <c r="BD185" s="326"/>
      <c r="BE185" s="323"/>
      <c r="BF185" s="324"/>
      <c r="BG185" s="324"/>
      <c r="BH185" s="324"/>
      <c r="BI185" s="324"/>
      <c r="BJ185" s="324"/>
      <c r="BK185" s="324"/>
      <c r="BL185" s="324"/>
      <c r="BM185" s="324"/>
      <c r="BN185" s="324"/>
      <c r="BO185" s="324"/>
      <c r="BP185" s="324"/>
      <c r="BQ185" s="325"/>
      <c r="BR185" s="327"/>
      <c r="BS185" s="327"/>
      <c r="BU185" s="32"/>
    </row>
    <row r="186" spans="1:73" s="31" customFormat="1" ht="11.5" x14ac:dyDescent="0.25">
      <c r="A186" s="301" t="str">
        <f>+A125</f>
        <v>Hito: Equipos para operación  adquiridos</v>
      </c>
      <c r="B186" s="302"/>
      <c r="C186" s="302"/>
      <c r="D186" s="302"/>
      <c r="E186" s="302"/>
      <c r="F186" s="302"/>
      <c r="G186" s="302"/>
      <c r="H186" s="302"/>
      <c r="I186" s="302"/>
      <c r="J186" s="303"/>
      <c r="K186" s="307">
        <v>2204352</v>
      </c>
      <c r="L186" s="308"/>
      <c r="M186" s="308"/>
      <c r="N186" s="308"/>
      <c r="O186" s="308"/>
      <c r="P186" s="308"/>
      <c r="Q186" s="308"/>
      <c r="R186" s="308"/>
      <c r="S186" s="308"/>
      <c r="T186" s="309"/>
      <c r="U186" s="313"/>
      <c r="V186" s="313"/>
      <c r="W186" s="315" t="s">
        <v>83</v>
      </c>
      <c r="X186" s="316"/>
      <c r="Y186" s="317">
        <v>0</v>
      </c>
      <c r="Z186" s="318"/>
      <c r="AA186" s="318"/>
      <c r="AB186" s="318"/>
      <c r="AC186" s="318"/>
      <c r="AD186" s="319"/>
      <c r="AE186" s="317">
        <v>1102176</v>
      </c>
      <c r="AF186" s="318"/>
      <c r="AG186" s="318"/>
      <c r="AH186" s="318"/>
      <c r="AI186" s="318"/>
      <c r="AJ186" s="319"/>
      <c r="AK186" s="317">
        <v>440870</v>
      </c>
      <c r="AL186" s="318"/>
      <c r="AM186" s="318"/>
      <c r="AN186" s="318"/>
      <c r="AO186" s="318"/>
      <c r="AP186" s="318"/>
      <c r="AQ186" s="319"/>
      <c r="AR186" s="317">
        <v>661306</v>
      </c>
      <c r="AS186" s="318"/>
      <c r="AT186" s="318"/>
      <c r="AU186" s="318"/>
      <c r="AV186" s="319"/>
      <c r="AW186" s="317">
        <v>0</v>
      </c>
      <c r="AX186" s="318"/>
      <c r="AY186" s="318"/>
      <c r="AZ186" s="318"/>
      <c r="BA186" s="318"/>
      <c r="BB186" s="318"/>
      <c r="BC186" s="318"/>
      <c r="BD186" s="319"/>
      <c r="BE186" s="317">
        <v>0</v>
      </c>
      <c r="BF186" s="318"/>
      <c r="BG186" s="318"/>
      <c r="BH186" s="318"/>
      <c r="BI186" s="318"/>
      <c r="BJ186" s="318"/>
      <c r="BK186" s="318"/>
      <c r="BL186" s="318"/>
      <c r="BM186" s="318"/>
      <c r="BN186" s="318"/>
      <c r="BO186" s="318"/>
      <c r="BP186" s="318"/>
      <c r="BQ186" s="319"/>
      <c r="BR186" s="320">
        <f>SUM(Y186:BQ186)</f>
        <v>2204352</v>
      </c>
      <c r="BS186" s="321"/>
    </row>
    <row r="187" spans="1:73" s="31" customFormat="1" ht="11.5" x14ac:dyDescent="0.25">
      <c r="A187" s="304"/>
      <c r="B187" s="305"/>
      <c r="C187" s="305"/>
      <c r="D187" s="305"/>
      <c r="E187" s="305"/>
      <c r="F187" s="305"/>
      <c r="G187" s="305"/>
      <c r="H187" s="305"/>
      <c r="I187" s="305"/>
      <c r="J187" s="306"/>
      <c r="K187" s="310"/>
      <c r="L187" s="311"/>
      <c r="M187" s="311"/>
      <c r="N187" s="311"/>
      <c r="O187" s="311"/>
      <c r="P187" s="311"/>
      <c r="Q187" s="311"/>
      <c r="R187" s="311"/>
      <c r="S187" s="311"/>
      <c r="T187" s="312"/>
      <c r="U187" s="314"/>
      <c r="V187" s="314"/>
      <c r="W187" s="322" t="s">
        <v>84</v>
      </c>
      <c r="X187" s="322"/>
      <c r="Y187" s="323"/>
      <c r="Z187" s="324"/>
      <c r="AA187" s="324"/>
      <c r="AB187" s="324"/>
      <c r="AC187" s="324"/>
      <c r="AD187" s="325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  <c r="AO187" s="326"/>
      <c r="AP187" s="326"/>
      <c r="AQ187" s="326"/>
      <c r="AR187" s="326"/>
      <c r="AS187" s="326"/>
      <c r="AT187" s="326"/>
      <c r="AU187" s="326"/>
      <c r="AV187" s="326"/>
      <c r="AW187" s="326"/>
      <c r="AX187" s="326"/>
      <c r="AY187" s="326"/>
      <c r="AZ187" s="326"/>
      <c r="BA187" s="326"/>
      <c r="BB187" s="326"/>
      <c r="BC187" s="326"/>
      <c r="BD187" s="326"/>
      <c r="BE187" s="323"/>
      <c r="BF187" s="324"/>
      <c r="BG187" s="324"/>
      <c r="BH187" s="324"/>
      <c r="BI187" s="324"/>
      <c r="BJ187" s="324"/>
      <c r="BK187" s="324"/>
      <c r="BL187" s="324"/>
      <c r="BM187" s="324"/>
      <c r="BN187" s="324"/>
      <c r="BO187" s="324"/>
      <c r="BP187" s="324"/>
      <c r="BQ187" s="325"/>
      <c r="BR187" s="327"/>
      <c r="BS187" s="327"/>
      <c r="BU187" s="32"/>
    </row>
    <row r="188" spans="1:73" s="16" customFormat="1" ht="23.25" customHeight="1" x14ac:dyDescent="0.25">
      <c r="A188" s="74" t="str">
        <f>+A127</f>
        <v>Proyectos de agua potable en el AMSS que no están en la muestra construidos o ampliados</v>
      </c>
      <c r="B188" s="75"/>
      <c r="C188" s="75"/>
      <c r="D188" s="75"/>
      <c r="E188" s="75"/>
      <c r="F188" s="75"/>
      <c r="G188" s="75"/>
      <c r="H188" s="75"/>
      <c r="I188" s="75"/>
      <c r="J188" s="76"/>
      <c r="K188" s="87">
        <v>8500000</v>
      </c>
      <c r="L188" s="88"/>
      <c r="M188" s="88"/>
      <c r="N188" s="88"/>
      <c r="O188" s="88"/>
      <c r="P188" s="88"/>
      <c r="Q188" s="88"/>
      <c r="R188" s="88"/>
      <c r="S188" s="88"/>
      <c r="T188" s="89"/>
      <c r="U188" s="126"/>
      <c r="V188" s="126"/>
      <c r="W188" s="245" t="s">
        <v>83</v>
      </c>
      <c r="X188" s="246"/>
      <c r="Y188" s="117">
        <v>0</v>
      </c>
      <c r="Z188" s="118"/>
      <c r="AA188" s="118"/>
      <c r="AB188" s="118"/>
      <c r="AC188" s="118"/>
      <c r="AD188" s="119"/>
      <c r="AE188" s="117">
        <v>0</v>
      </c>
      <c r="AF188" s="118"/>
      <c r="AG188" s="118"/>
      <c r="AH188" s="118"/>
      <c r="AI188" s="118"/>
      <c r="AJ188" s="119"/>
      <c r="AK188" s="117">
        <v>0</v>
      </c>
      <c r="AL188" s="118"/>
      <c r="AM188" s="118"/>
      <c r="AN188" s="118"/>
      <c r="AO188" s="118"/>
      <c r="AP188" s="118"/>
      <c r="AQ188" s="119"/>
      <c r="AR188" s="117">
        <v>1700000</v>
      </c>
      <c r="AS188" s="118"/>
      <c r="AT188" s="118"/>
      <c r="AU188" s="118"/>
      <c r="AV188" s="119"/>
      <c r="AW188" s="117">
        <v>3400000</v>
      </c>
      <c r="AX188" s="118"/>
      <c r="AY188" s="118"/>
      <c r="AZ188" s="118"/>
      <c r="BA188" s="118"/>
      <c r="BB188" s="118"/>
      <c r="BC188" s="118"/>
      <c r="BD188" s="119"/>
      <c r="BE188" s="117">
        <v>3400000</v>
      </c>
      <c r="BF188" s="118"/>
      <c r="BG188" s="118"/>
      <c r="BH188" s="118"/>
      <c r="BI188" s="118"/>
      <c r="BJ188" s="118"/>
      <c r="BK188" s="118"/>
      <c r="BL188" s="118"/>
      <c r="BM188" s="118"/>
      <c r="BN188" s="118"/>
      <c r="BO188" s="118"/>
      <c r="BP188" s="118"/>
      <c r="BQ188" s="119"/>
      <c r="BR188" s="237">
        <f>SUM(Y188:BQ188)</f>
        <v>8500000</v>
      </c>
      <c r="BS188" s="238"/>
    </row>
    <row r="189" spans="1:73" s="16" customFormat="1" ht="18" customHeight="1" x14ac:dyDescent="0.25">
      <c r="A189" s="77"/>
      <c r="B189" s="78"/>
      <c r="C189" s="78"/>
      <c r="D189" s="78"/>
      <c r="E189" s="78"/>
      <c r="F189" s="78"/>
      <c r="G189" s="78"/>
      <c r="H189" s="78"/>
      <c r="I189" s="78"/>
      <c r="J189" s="79"/>
      <c r="K189" s="123"/>
      <c r="L189" s="124"/>
      <c r="M189" s="124"/>
      <c r="N189" s="124"/>
      <c r="O189" s="124"/>
      <c r="P189" s="124"/>
      <c r="Q189" s="124"/>
      <c r="R189" s="124"/>
      <c r="S189" s="124"/>
      <c r="T189" s="125"/>
      <c r="U189" s="127"/>
      <c r="V189" s="127"/>
      <c r="W189" s="140" t="s">
        <v>84</v>
      </c>
      <c r="X189" s="140"/>
      <c r="Y189" s="120"/>
      <c r="Z189" s="121"/>
      <c r="AA189" s="121"/>
      <c r="AB189" s="121"/>
      <c r="AC189" s="121"/>
      <c r="AD189" s="122"/>
      <c r="AE189" s="141"/>
      <c r="AF189" s="141"/>
      <c r="AG189" s="141"/>
      <c r="AH189" s="141"/>
      <c r="AI189" s="141"/>
      <c r="AJ189" s="141"/>
      <c r="AK189" s="141"/>
      <c r="AL189" s="141"/>
      <c r="AM189" s="141"/>
      <c r="AN189" s="141"/>
      <c r="AO189" s="141"/>
      <c r="AP189" s="141"/>
      <c r="AQ189" s="141"/>
      <c r="AR189" s="141"/>
      <c r="AS189" s="141"/>
      <c r="AT189" s="141"/>
      <c r="AU189" s="141"/>
      <c r="AV189" s="141"/>
      <c r="AW189" s="141"/>
      <c r="AX189" s="141"/>
      <c r="AY189" s="141"/>
      <c r="AZ189" s="141"/>
      <c r="BA189" s="141"/>
      <c r="BB189" s="141"/>
      <c r="BC189" s="141"/>
      <c r="BD189" s="141"/>
      <c r="BE189" s="120"/>
      <c r="BF189" s="121"/>
      <c r="BG189" s="121"/>
      <c r="BH189" s="121"/>
      <c r="BI189" s="121"/>
      <c r="BJ189" s="121"/>
      <c r="BK189" s="121"/>
      <c r="BL189" s="121"/>
      <c r="BM189" s="121"/>
      <c r="BN189" s="121"/>
      <c r="BO189" s="121"/>
      <c r="BP189" s="121"/>
      <c r="BQ189" s="122"/>
      <c r="BR189" s="116"/>
      <c r="BS189" s="116"/>
    </row>
    <row r="190" spans="1:73" s="13" customFormat="1" ht="13.5" customHeight="1" x14ac:dyDescent="0.25">
      <c r="A190" s="163" t="s">
        <v>166</v>
      </c>
      <c r="B190" s="164"/>
      <c r="C190" s="164"/>
      <c r="D190" s="164"/>
      <c r="E190" s="164"/>
      <c r="F190" s="164"/>
      <c r="G190" s="164"/>
      <c r="H190" s="164"/>
      <c r="I190" s="164"/>
      <c r="J190" s="165"/>
      <c r="K190" s="160">
        <f>+K178+K180+K182+K188</f>
        <v>33800352</v>
      </c>
      <c r="L190" s="161"/>
      <c r="M190" s="161"/>
      <c r="N190" s="161"/>
      <c r="O190" s="161"/>
      <c r="P190" s="161"/>
      <c r="Q190" s="161"/>
      <c r="R190" s="161"/>
      <c r="S190" s="161"/>
      <c r="T190" s="162"/>
      <c r="U190" s="14"/>
      <c r="V190" s="15"/>
      <c r="W190" s="14"/>
      <c r="X190" s="15"/>
      <c r="Y190" s="160">
        <f>+Y188+Y180+Y178</f>
        <v>0</v>
      </c>
      <c r="Z190" s="161"/>
      <c r="AA190" s="161"/>
      <c r="AB190" s="161"/>
      <c r="AC190" s="161"/>
      <c r="AD190" s="161"/>
      <c r="AE190" s="161">
        <f>+AE188+AE180+AE178+AE182</f>
        <v>3243778</v>
      </c>
      <c r="AF190" s="161"/>
      <c r="AG190" s="161"/>
      <c r="AH190" s="161"/>
      <c r="AI190" s="161"/>
      <c r="AJ190" s="162"/>
      <c r="AK190" s="160">
        <f>+AK188+AK180+AK178+AK182</f>
        <v>4355603</v>
      </c>
      <c r="AL190" s="161"/>
      <c r="AM190" s="161"/>
      <c r="AN190" s="161"/>
      <c r="AO190" s="161"/>
      <c r="AP190" s="161"/>
      <c r="AQ190" s="162"/>
      <c r="AR190" s="160">
        <f>+AR188+AR180+AR178+AR182</f>
        <v>11681416</v>
      </c>
      <c r="AS190" s="161"/>
      <c r="AT190" s="161"/>
      <c r="AU190" s="161"/>
      <c r="AV190" s="162"/>
      <c r="AW190" s="71">
        <f>+AW188+AW180+AW178+AW182</f>
        <v>11119555</v>
      </c>
      <c r="AX190" s="72"/>
      <c r="AY190" s="72"/>
      <c r="AZ190" s="72"/>
      <c r="BA190" s="72"/>
      <c r="BB190" s="72"/>
      <c r="BC190" s="72"/>
      <c r="BD190" s="73"/>
      <c r="BE190" s="71">
        <f>+BE188+BE180+BE178+BE182</f>
        <v>3400000</v>
      </c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3"/>
      <c r="BR190" s="160">
        <f>SUM(Y190:BQ190)</f>
        <v>33800352</v>
      </c>
      <c r="BS190" s="162"/>
      <c r="BU190" s="21"/>
    </row>
    <row r="191" spans="1:73" ht="10.9" customHeight="1" x14ac:dyDescent="0.25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  <c r="AT191" s="201"/>
      <c r="AU191" s="201"/>
      <c r="AV191" s="201"/>
      <c r="AW191" s="201"/>
      <c r="AX191" s="201"/>
      <c r="AY191" s="201"/>
      <c r="AZ191" s="201"/>
      <c r="BA191" s="201"/>
      <c r="BB191" s="201"/>
      <c r="BC191" s="201"/>
      <c r="BD191" s="201"/>
      <c r="BE191" s="201"/>
      <c r="BF191" s="201"/>
      <c r="BG191" s="201"/>
      <c r="BH191" s="201"/>
      <c r="BI191" s="201"/>
      <c r="BJ191" s="201"/>
      <c r="BK191" s="201"/>
      <c r="BL191" s="201"/>
      <c r="BM191" s="201"/>
      <c r="BN191" s="201"/>
      <c r="BO191" s="201"/>
      <c r="BP191" s="201"/>
      <c r="BQ191" s="201"/>
      <c r="BR191" s="201"/>
      <c r="BS191" s="201"/>
    </row>
    <row r="192" spans="1:73" s="8" customFormat="1" ht="13.5" customHeight="1" x14ac:dyDescent="0.25">
      <c r="A192" s="295" t="s">
        <v>127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  <c r="BO192" s="296"/>
      <c r="BP192" s="296"/>
      <c r="BQ192" s="296"/>
      <c r="BR192" s="296"/>
      <c r="BS192" s="297"/>
    </row>
    <row r="193" spans="1:73" s="16" customFormat="1" ht="11.5" x14ac:dyDescent="0.25">
      <c r="A193" s="74" t="str">
        <f>+A131</f>
        <v>Sistema de producción de la Zona Norte mejorado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87">
        <f>+K195+K197+K199+K201+K203+K205</f>
        <v>17439584</v>
      </c>
      <c r="L193" s="88"/>
      <c r="M193" s="88"/>
      <c r="N193" s="88"/>
      <c r="O193" s="88"/>
      <c r="P193" s="88"/>
      <c r="Q193" s="88"/>
      <c r="R193" s="88"/>
      <c r="S193" s="88"/>
      <c r="T193" s="89"/>
      <c r="U193" s="126"/>
      <c r="V193" s="126"/>
      <c r="W193" s="245" t="s">
        <v>83</v>
      </c>
      <c r="X193" s="246"/>
      <c r="Y193" s="117">
        <v>0</v>
      </c>
      <c r="Z193" s="118"/>
      <c r="AA193" s="118"/>
      <c r="AB193" s="118"/>
      <c r="AC193" s="118"/>
      <c r="AD193" s="119"/>
      <c r="AE193" s="117">
        <f>+AE195+AE197+AE199+AE201+AE203+AE205</f>
        <v>4414070</v>
      </c>
      <c r="AF193" s="118"/>
      <c r="AG193" s="118"/>
      <c r="AH193" s="118"/>
      <c r="AI193" s="118"/>
      <c r="AJ193" s="119"/>
      <c r="AK193" s="117">
        <f>+AK195+AK197+AK199+AK201+AK203+AK205</f>
        <v>13025514</v>
      </c>
      <c r="AL193" s="118"/>
      <c r="AM193" s="118"/>
      <c r="AN193" s="118"/>
      <c r="AO193" s="118"/>
      <c r="AP193" s="118"/>
      <c r="AQ193" s="119"/>
      <c r="AR193" s="117">
        <f>+AR195+AR197+AR199+AR201+AR203+AR205</f>
        <v>0</v>
      </c>
      <c r="AS193" s="118"/>
      <c r="AT193" s="118"/>
      <c r="AU193" s="118"/>
      <c r="AV193" s="119"/>
      <c r="AW193" s="117">
        <f>+AW195+AW197+AW199+AW201+AW203+AW205</f>
        <v>0</v>
      </c>
      <c r="AX193" s="118"/>
      <c r="AY193" s="118"/>
      <c r="AZ193" s="118"/>
      <c r="BA193" s="118"/>
      <c r="BB193" s="118"/>
      <c r="BC193" s="118"/>
      <c r="BD193" s="119"/>
      <c r="BE193" s="117">
        <f>+BE195+BE197+BE199+BE201+BE203+BE205</f>
        <v>0</v>
      </c>
      <c r="BF193" s="118"/>
      <c r="BG193" s="118"/>
      <c r="BH193" s="118"/>
      <c r="BI193" s="118"/>
      <c r="BJ193" s="118"/>
      <c r="BK193" s="118"/>
      <c r="BL193" s="118"/>
      <c r="BM193" s="118"/>
      <c r="BN193" s="118"/>
      <c r="BO193" s="118"/>
      <c r="BP193" s="118"/>
      <c r="BQ193" s="119"/>
      <c r="BR193" s="237">
        <f>SUM(Y193:BQ193)</f>
        <v>17439584</v>
      </c>
      <c r="BS193" s="238"/>
    </row>
    <row r="194" spans="1:73" s="16" customFormat="1" ht="11.5" x14ac:dyDescent="0.25">
      <c r="A194" s="77"/>
      <c r="B194" s="78"/>
      <c r="C194" s="78"/>
      <c r="D194" s="78"/>
      <c r="E194" s="78"/>
      <c r="F194" s="78"/>
      <c r="G194" s="78"/>
      <c r="H194" s="78"/>
      <c r="I194" s="78"/>
      <c r="J194" s="79"/>
      <c r="K194" s="123"/>
      <c r="L194" s="124"/>
      <c r="M194" s="124"/>
      <c r="N194" s="124"/>
      <c r="O194" s="124"/>
      <c r="P194" s="124"/>
      <c r="Q194" s="124"/>
      <c r="R194" s="124"/>
      <c r="S194" s="124"/>
      <c r="T194" s="125"/>
      <c r="U194" s="127"/>
      <c r="V194" s="127"/>
      <c r="W194" s="140" t="s">
        <v>84</v>
      </c>
      <c r="X194" s="140"/>
      <c r="Y194" s="120"/>
      <c r="Z194" s="121"/>
      <c r="AA194" s="121"/>
      <c r="AB194" s="121"/>
      <c r="AC194" s="121"/>
      <c r="AD194" s="122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20"/>
      <c r="BF194" s="121"/>
      <c r="BG194" s="121"/>
      <c r="BH194" s="121"/>
      <c r="BI194" s="121"/>
      <c r="BJ194" s="121"/>
      <c r="BK194" s="121"/>
      <c r="BL194" s="121"/>
      <c r="BM194" s="121"/>
      <c r="BN194" s="121"/>
      <c r="BO194" s="121"/>
      <c r="BP194" s="121"/>
      <c r="BQ194" s="122"/>
      <c r="BR194" s="116"/>
      <c r="BS194" s="116"/>
    </row>
    <row r="195" spans="1:73" s="16" customFormat="1" ht="23.25" customHeight="1" x14ac:dyDescent="0.25">
      <c r="A195" s="42" t="str">
        <f>+A133</f>
        <v>Hito: Pozos en recintos 3ª, 4 y 7 de Opico, Jabalí 1 y 2, Colombia 4 construidos</v>
      </c>
      <c r="B195" s="43"/>
      <c r="C195" s="43"/>
      <c r="D195" s="43"/>
      <c r="E195" s="43"/>
      <c r="F195" s="43"/>
      <c r="G195" s="43"/>
      <c r="H195" s="43"/>
      <c r="I195" s="43"/>
      <c r="J195" s="44"/>
      <c r="K195" s="87">
        <v>3865084</v>
      </c>
      <c r="L195" s="88"/>
      <c r="M195" s="88"/>
      <c r="N195" s="88"/>
      <c r="O195" s="88"/>
      <c r="P195" s="88"/>
      <c r="Q195" s="88"/>
      <c r="R195" s="88"/>
      <c r="S195" s="88"/>
      <c r="T195" s="89"/>
      <c r="U195" s="126"/>
      <c r="V195" s="126"/>
      <c r="W195" s="245" t="s">
        <v>83</v>
      </c>
      <c r="X195" s="246"/>
      <c r="Y195" s="117">
        <v>0</v>
      </c>
      <c r="Z195" s="118"/>
      <c r="AA195" s="118"/>
      <c r="AB195" s="118"/>
      <c r="AC195" s="118"/>
      <c r="AD195" s="119"/>
      <c r="AE195" s="117">
        <v>875379</v>
      </c>
      <c r="AF195" s="118"/>
      <c r="AG195" s="118"/>
      <c r="AH195" s="118"/>
      <c r="AI195" s="118"/>
      <c r="AJ195" s="119"/>
      <c r="AK195" s="117">
        <v>2989705</v>
      </c>
      <c r="AL195" s="118"/>
      <c r="AM195" s="118"/>
      <c r="AN195" s="118"/>
      <c r="AO195" s="118"/>
      <c r="AP195" s="118"/>
      <c r="AQ195" s="119"/>
      <c r="AR195" s="117">
        <v>0</v>
      </c>
      <c r="AS195" s="118"/>
      <c r="AT195" s="118"/>
      <c r="AU195" s="118"/>
      <c r="AV195" s="119"/>
      <c r="AW195" s="117">
        <v>0</v>
      </c>
      <c r="AX195" s="118"/>
      <c r="AY195" s="118"/>
      <c r="AZ195" s="118"/>
      <c r="BA195" s="118"/>
      <c r="BB195" s="118"/>
      <c r="BC195" s="118"/>
      <c r="BD195" s="119"/>
      <c r="BE195" s="117">
        <v>0</v>
      </c>
      <c r="BF195" s="118"/>
      <c r="BG195" s="118"/>
      <c r="BH195" s="118"/>
      <c r="BI195" s="118"/>
      <c r="BJ195" s="118"/>
      <c r="BK195" s="118"/>
      <c r="BL195" s="118"/>
      <c r="BM195" s="118"/>
      <c r="BN195" s="118"/>
      <c r="BO195" s="118"/>
      <c r="BP195" s="118"/>
      <c r="BQ195" s="119"/>
      <c r="BR195" s="237">
        <f>SUM(Y195:BQ195)</f>
        <v>3865084</v>
      </c>
      <c r="BS195" s="238"/>
    </row>
    <row r="196" spans="1:73" s="16" customFormat="1" ht="18" customHeight="1" x14ac:dyDescent="0.25">
      <c r="A196" s="45"/>
      <c r="B196" s="46"/>
      <c r="C196" s="46"/>
      <c r="D196" s="46"/>
      <c r="E196" s="46"/>
      <c r="F196" s="46"/>
      <c r="G196" s="46"/>
      <c r="H196" s="46"/>
      <c r="I196" s="46"/>
      <c r="J196" s="47"/>
      <c r="K196" s="123"/>
      <c r="L196" s="124"/>
      <c r="M196" s="124"/>
      <c r="N196" s="124"/>
      <c r="O196" s="124"/>
      <c r="P196" s="124"/>
      <c r="Q196" s="124"/>
      <c r="R196" s="124"/>
      <c r="S196" s="124"/>
      <c r="T196" s="125"/>
      <c r="U196" s="127"/>
      <c r="V196" s="127"/>
      <c r="W196" s="140" t="s">
        <v>84</v>
      </c>
      <c r="X196" s="140"/>
      <c r="Y196" s="120"/>
      <c r="Z196" s="121"/>
      <c r="AA196" s="121"/>
      <c r="AB196" s="121"/>
      <c r="AC196" s="121"/>
      <c r="AD196" s="122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/>
      <c r="BB196" s="141"/>
      <c r="BC196" s="141"/>
      <c r="BD196" s="141"/>
      <c r="BE196" s="120"/>
      <c r="BF196" s="121"/>
      <c r="BG196" s="121"/>
      <c r="BH196" s="121"/>
      <c r="BI196" s="121"/>
      <c r="BJ196" s="121"/>
      <c r="BK196" s="121"/>
      <c r="BL196" s="121"/>
      <c r="BM196" s="121"/>
      <c r="BN196" s="121"/>
      <c r="BO196" s="121"/>
      <c r="BP196" s="121"/>
      <c r="BQ196" s="122"/>
      <c r="BR196" s="116"/>
      <c r="BS196" s="116"/>
    </row>
    <row r="197" spans="1:73" s="16" customFormat="1" ht="11.5" x14ac:dyDescent="0.25">
      <c r="A197" s="42" t="str">
        <f>+A135</f>
        <v>Hito: Pozos rehabilitados</v>
      </c>
      <c r="B197" s="43"/>
      <c r="C197" s="43"/>
      <c r="D197" s="43"/>
      <c r="E197" s="43"/>
      <c r="F197" s="43"/>
      <c r="G197" s="43"/>
      <c r="H197" s="43"/>
      <c r="I197" s="43"/>
      <c r="J197" s="44"/>
      <c r="K197" s="87">
        <v>800000</v>
      </c>
      <c r="L197" s="88"/>
      <c r="M197" s="88"/>
      <c r="N197" s="88"/>
      <c r="O197" s="88"/>
      <c r="P197" s="88"/>
      <c r="Q197" s="88"/>
      <c r="R197" s="88"/>
      <c r="S197" s="88"/>
      <c r="T197" s="89"/>
      <c r="U197" s="126"/>
      <c r="V197" s="126"/>
      <c r="W197" s="245" t="s">
        <v>83</v>
      </c>
      <c r="X197" s="246"/>
      <c r="Y197" s="117">
        <v>0</v>
      </c>
      <c r="Z197" s="118"/>
      <c r="AA197" s="118"/>
      <c r="AB197" s="118"/>
      <c r="AC197" s="118"/>
      <c r="AD197" s="119"/>
      <c r="AE197" s="117">
        <f>800000*0.2</f>
        <v>160000</v>
      </c>
      <c r="AF197" s="118"/>
      <c r="AG197" s="118"/>
      <c r="AH197" s="118"/>
      <c r="AI197" s="118"/>
      <c r="AJ197" s="119"/>
      <c r="AK197" s="117">
        <f>800000*0.8</f>
        <v>640000</v>
      </c>
      <c r="AL197" s="118"/>
      <c r="AM197" s="118"/>
      <c r="AN197" s="118"/>
      <c r="AO197" s="118"/>
      <c r="AP197" s="118"/>
      <c r="AQ197" s="119"/>
      <c r="AR197" s="117">
        <v>0</v>
      </c>
      <c r="AS197" s="118"/>
      <c r="AT197" s="118"/>
      <c r="AU197" s="118"/>
      <c r="AV197" s="119"/>
      <c r="AW197" s="117">
        <v>0</v>
      </c>
      <c r="AX197" s="118"/>
      <c r="AY197" s="118"/>
      <c r="AZ197" s="118"/>
      <c r="BA197" s="118"/>
      <c r="BB197" s="118"/>
      <c r="BC197" s="118"/>
      <c r="BD197" s="119"/>
      <c r="BE197" s="117">
        <v>0</v>
      </c>
      <c r="BF197" s="118"/>
      <c r="BG197" s="118"/>
      <c r="BH197" s="118"/>
      <c r="BI197" s="118"/>
      <c r="BJ197" s="118"/>
      <c r="BK197" s="118"/>
      <c r="BL197" s="118"/>
      <c r="BM197" s="118"/>
      <c r="BN197" s="118"/>
      <c r="BO197" s="118"/>
      <c r="BP197" s="118"/>
      <c r="BQ197" s="119"/>
      <c r="BR197" s="237">
        <f>SUM(Y197:BQ197)</f>
        <v>800000</v>
      </c>
      <c r="BS197" s="238"/>
    </row>
    <row r="198" spans="1:73" s="16" customFormat="1" ht="11.5" x14ac:dyDescent="0.25">
      <c r="A198" s="45"/>
      <c r="B198" s="46"/>
      <c r="C198" s="46"/>
      <c r="D198" s="46"/>
      <c r="E198" s="46"/>
      <c r="F198" s="46"/>
      <c r="G198" s="46"/>
      <c r="H198" s="46"/>
      <c r="I198" s="46"/>
      <c r="J198" s="47"/>
      <c r="K198" s="123"/>
      <c r="L198" s="124"/>
      <c r="M198" s="124"/>
      <c r="N198" s="124"/>
      <c r="O198" s="124"/>
      <c r="P198" s="124"/>
      <c r="Q198" s="124"/>
      <c r="R198" s="124"/>
      <c r="S198" s="124"/>
      <c r="T198" s="125"/>
      <c r="U198" s="127"/>
      <c r="V198" s="127"/>
      <c r="W198" s="140" t="s">
        <v>84</v>
      </c>
      <c r="X198" s="140"/>
      <c r="Y198" s="120"/>
      <c r="Z198" s="121"/>
      <c r="AA198" s="121"/>
      <c r="AB198" s="121"/>
      <c r="AC198" s="121"/>
      <c r="AD198" s="122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20"/>
      <c r="BF198" s="121"/>
      <c r="BG198" s="121"/>
      <c r="BH198" s="121"/>
      <c r="BI198" s="121"/>
      <c r="BJ198" s="121"/>
      <c r="BK198" s="121"/>
      <c r="BL198" s="121"/>
      <c r="BM198" s="121"/>
      <c r="BN198" s="121"/>
      <c r="BO198" s="121"/>
      <c r="BP198" s="121"/>
      <c r="BQ198" s="122"/>
      <c r="BR198" s="116"/>
      <c r="BS198" s="116"/>
    </row>
    <row r="199" spans="1:73" s="16" customFormat="1" ht="11.5" x14ac:dyDescent="0.25">
      <c r="A199" s="42" t="str">
        <f>+A137</f>
        <v>Hito: Obras de refuerzo entre Pozos y Estación de Bombeo La Toma mejorada</v>
      </c>
      <c r="B199" s="43"/>
      <c r="C199" s="43"/>
      <c r="D199" s="43"/>
      <c r="E199" s="43"/>
      <c r="F199" s="43"/>
      <c r="G199" s="43"/>
      <c r="H199" s="43"/>
      <c r="I199" s="43"/>
      <c r="J199" s="44"/>
      <c r="K199" s="87">
        <v>6148000</v>
      </c>
      <c r="L199" s="88"/>
      <c r="M199" s="88"/>
      <c r="N199" s="88"/>
      <c r="O199" s="88"/>
      <c r="P199" s="88"/>
      <c r="Q199" s="88"/>
      <c r="R199" s="88"/>
      <c r="S199" s="88"/>
      <c r="T199" s="89"/>
      <c r="U199" s="126"/>
      <c r="V199" s="126"/>
      <c r="W199" s="245" t="s">
        <v>83</v>
      </c>
      <c r="X199" s="246"/>
      <c r="Y199" s="117">
        <v>0</v>
      </c>
      <c r="Z199" s="118"/>
      <c r="AA199" s="118"/>
      <c r="AB199" s="118"/>
      <c r="AC199" s="118"/>
      <c r="AD199" s="119"/>
      <c r="AE199" s="117">
        <v>1377151</v>
      </c>
      <c r="AF199" s="118"/>
      <c r="AG199" s="118"/>
      <c r="AH199" s="118"/>
      <c r="AI199" s="118"/>
      <c r="AJ199" s="119"/>
      <c r="AK199" s="117">
        <v>4770849</v>
      </c>
      <c r="AL199" s="118"/>
      <c r="AM199" s="118"/>
      <c r="AN199" s="118"/>
      <c r="AO199" s="118"/>
      <c r="AP199" s="118"/>
      <c r="AQ199" s="119"/>
      <c r="AR199" s="117">
        <v>0</v>
      </c>
      <c r="AS199" s="118"/>
      <c r="AT199" s="118"/>
      <c r="AU199" s="118"/>
      <c r="AV199" s="119"/>
      <c r="AW199" s="117">
        <v>0</v>
      </c>
      <c r="AX199" s="118"/>
      <c r="AY199" s="118"/>
      <c r="AZ199" s="118"/>
      <c r="BA199" s="118"/>
      <c r="BB199" s="118"/>
      <c r="BC199" s="118"/>
      <c r="BD199" s="119"/>
      <c r="BE199" s="117">
        <v>0</v>
      </c>
      <c r="BF199" s="118"/>
      <c r="BG199" s="118"/>
      <c r="BH199" s="118"/>
      <c r="BI199" s="118"/>
      <c r="BJ199" s="118"/>
      <c r="BK199" s="118"/>
      <c r="BL199" s="118"/>
      <c r="BM199" s="118"/>
      <c r="BN199" s="118"/>
      <c r="BO199" s="118"/>
      <c r="BP199" s="118"/>
      <c r="BQ199" s="119"/>
      <c r="BR199" s="237">
        <f>SUM(Y199:BQ199)</f>
        <v>6148000</v>
      </c>
      <c r="BS199" s="238"/>
    </row>
    <row r="200" spans="1:73" s="16" customFormat="1" ht="11.5" x14ac:dyDescent="0.25">
      <c r="A200" s="45"/>
      <c r="B200" s="46"/>
      <c r="C200" s="46"/>
      <c r="D200" s="46"/>
      <c r="E200" s="46"/>
      <c r="F200" s="46"/>
      <c r="G200" s="46"/>
      <c r="H200" s="46"/>
      <c r="I200" s="46"/>
      <c r="J200" s="47"/>
      <c r="K200" s="123"/>
      <c r="L200" s="124"/>
      <c r="M200" s="124"/>
      <c r="N200" s="124"/>
      <c r="O200" s="124"/>
      <c r="P200" s="124"/>
      <c r="Q200" s="124"/>
      <c r="R200" s="124"/>
      <c r="S200" s="124"/>
      <c r="T200" s="125"/>
      <c r="U200" s="127"/>
      <c r="V200" s="127"/>
      <c r="W200" s="140" t="s">
        <v>84</v>
      </c>
      <c r="X200" s="140"/>
      <c r="Y200" s="120"/>
      <c r="Z200" s="121"/>
      <c r="AA200" s="121"/>
      <c r="AB200" s="121"/>
      <c r="AC200" s="121"/>
      <c r="AD200" s="122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20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2"/>
      <c r="BR200" s="116"/>
      <c r="BS200" s="116"/>
    </row>
    <row r="201" spans="1:73" s="16" customFormat="1" ht="11.5" x14ac:dyDescent="0.25">
      <c r="A201" s="42" t="str">
        <f>+A139</f>
        <v xml:space="preserve">Hito: Línea de Conducción La Toma / EB Central mejorada </v>
      </c>
      <c r="B201" s="43"/>
      <c r="C201" s="43"/>
      <c r="D201" s="43"/>
      <c r="E201" s="43"/>
      <c r="F201" s="43"/>
      <c r="G201" s="43"/>
      <c r="H201" s="43"/>
      <c r="I201" s="43"/>
      <c r="J201" s="44"/>
      <c r="K201" s="87">
        <v>3400000</v>
      </c>
      <c r="L201" s="88"/>
      <c r="M201" s="88"/>
      <c r="N201" s="88"/>
      <c r="O201" s="88"/>
      <c r="P201" s="88"/>
      <c r="Q201" s="88"/>
      <c r="R201" s="88"/>
      <c r="S201" s="88"/>
      <c r="T201" s="89"/>
      <c r="U201" s="126"/>
      <c r="V201" s="126"/>
      <c r="W201" s="245" t="s">
        <v>83</v>
      </c>
      <c r="X201" s="246"/>
      <c r="Y201" s="117">
        <v>0</v>
      </c>
      <c r="Z201" s="118"/>
      <c r="AA201" s="118"/>
      <c r="AB201" s="118"/>
      <c r="AC201" s="118"/>
      <c r="AD201" s="119"/>
      <c r="AE201" s="117">
        <v>761600</v>
      </c>
      <c r="AF201" s="118"/>
      <c r="AG201" s="118"/>
      <c r="AH201" s="118"/>
      <c r="AI201" s="118"/>
      <c r="AJ201" s="119"/>
      <c r="AK201" s="117">
        <v>2638400</v>
      </c>
      <c r="AL201" s="118"/>
      <c r="AM201" s="118"/>
      <c r="AN201" s="118"/>
      <c r="AO201" s="118"/>
      <c r="AP201" s="118"/>
      <c r="AQ201" s="119"/>
      <c r="AR201" s="117">
        <v>0</v>
      </c>
      <c r="AS201" s="118"/>
      <c r="AT201" s="118"/>
      <c r="AU201" s="118"/>
      <c r="AV201" s="119"/>
      <c r="AW201" s="117">
        <v>0</v>
      </c>
      <c r="AX201" s="118"/>
      <c r="AY201" s="118"/>
      <c r="AZ201" s="118"/>
      <c r="BA201" s="118"/>
      <c r="BB201" s="118"/>
      <c r="BC201" s="118"/>
      <c r="BD201" s="119"/>
      <c r="BE201" s="117">
        <v>0</v>
      </c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9"/>
      <c r="BR201" s="237">
        <f>SUM(Y201:BQ201)</f>
        <v>3400000</v>
      </c>
      <c r="BS201" s="238"/>
    </row>
    <row r="202" spans="1:73" s="16" customFormat="1" ht="11.5" x14ac:dyDescent="0.25">
      <c r="A202" s="45"/>
      <c r="B202" s="46"/>
      <c r="C202" s="46"/>
      <c r="D202" s="46"/>
      <c r="E202" s="46"/>
      <c r="F202" s="46"/>
      <c r="G202" s="46"/>
      <c r="H202" s="46"/>
      <c r="I202" s="46"/>
      <c r="J202" s="47"/>
      <c r="K202" s="123"/>
      <c r="L202" s="124"/>
      <c r="M202" s="124"/>
      <c r="N202" s="124"/>
      <c r="O202" s="124"/>
      <c r="P202" s="124"/>
      <c r="Q202" s="124"/>
      <c r="R202" s="124"/>
      <c r="S202" s="124"/>
      <c r="T202" s="125"/>
      <c r="U202" s="127"/>
      <c r="V202" s="127"/>
      <c r="W202" s="140" t="s">
        <v>84</v>
      </c>
      <c r="X202" s="140"/>
      <c r="Y202" s="120"/>
      <c r="Z202" s="121"/>
      <c r="AA202" s="121"/>
      <c r="AB202" s="121"/>
      <c r="AC202" s="121"/>
      <c r="AD202" s="122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20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2"/>
      <c r="BR202" s="116"/>
      <c r="BS202" s="116"/>
    </row>
    <row r="203" spans="1:73" s="16" customFormat="1" ht="29.25" customHeight="1" x14ac:dyDescent="0.25">
      <c r="A203" s="42" t="str">
        <f>+A141</f>
        <v>Hito: Obras de adecuación en cruces de quebradas en línea de conducción de la Estación de Bombeo Central / Estación de Bombeo San Ramón mejorada</v>
      </c>
      <c r="B203" s="43"/>
      <c r="C203" s="43"/>
      <c r="D203" s="43"/>
      <c r="E203" s="43"/>
      <c r="F203" s="43"/>
      <c r="G203" s="43"/>
      <c r="H203" s="43"/>
      <c r="I203" s="43"/>
      <c r="J203" s="44"/>
      <c r="K203" s="87">
        <v>2560000</v>
      </c>
      <c r="L203" s="88"/>
      <c r="M203" s="88"/>
      <c r="N203" s="88"/>
      <c r="O203" s="88"/>
      <c r="P203" s="88"/>
      <c r="Q203" s="88"/>
      <c r="R203" s="88"/>
      <c r="S203" s="88"/>
      <c r="T203" s="89"/>
      <c r="U203" s="126"/>
      <c r="V203" s="126"/>
      <c r="W203" s="245" t="s">
        <v>83</v>
      </c>
      <c r="X203" s="246"/>
      <c r="Y203" s="117">
        <v>0</v>
      </c>
      <c r="Z203" s="118"/>
      <c r="AA203" s="118"/>
      <c r="AB203" s="118"/>
      <c r="AC203" s="118"/>
      <c r="AD203" s="119"/>
      <c r="AE203" s="117">
        <v>573440</v>
      </c>
      <c r="AF203" s="118"/>
      <c r="AG203" s="118"/>
      <c r="AH203" s="118"/>
      <c r="AI203" s="118"/>
      <c r="AJ203" s="119"/>
      <c r="AK203" s="117">
        <v>1986560</v>
      </c>
      <c r="AL203" s="118"/>
      <c r="AM203" s="118"/>
      <c r="AN203" s="118"/>
      <c r="AO203" s="118"/>
      <c r="AP203" s="118"/>
      <c r="AQ203" s="119"/>
      <c r="AR203" s="117">
        <v>0</v>
      </c>
      <c r="AS203" s="118"/>
      <c r="AT203" s="118"/>
      <c r="AU203" s="118"/>
      <c r="AV203" s="119"/>
      <c r="AW203" s="117">
        <v>0</v>
      </c>
      <c r="AX203" s="118"/>
      <c r="AY203" s="118"/>
      <c r="AZ203" s="118"/>
      <c r="BA203" s="118"/>
      <c r="BB203" s="118"/>
      <c r="BC203" s="118"/>
      <c r="BD203" s="119"/>
      <c r="BE203" s="117">
        <v>0</v>
      </c>
      <c r="BF203" s="118"/>
      <c r="BG203" s="118"/>
      <c r="BH203" s="118"/>
      <c r="BI203" s="118"/>
      <c r="BJ203" s="118"/>
      <c r="BK203" s="118"/>
      <c r="BL203" s="118"/>
      <c r="BM203" s="118"/>
      <c r="BN203" s="118"/>
      <c r="BO203" s="118"/>
      <c r="BP203" s="118"/>
      <c r="BQ203" s="119"/>
      <c r="BR203" s="237">
        <f>SUM(Y203:BQ203)</f>
        <v>2560000</v>
      </c>
      <c r="BS203" s="238"/>
    </row>
    <row r="204" spans="1:73" s="16" customFormat="1" ht="31.5" customHeight="1" x14ac:dyDescent="0.25">
      <c r="A204" s="45"/>
      <c r="B204" s="46"/>
      <c r="C204" s="46"/>
      <c r="D204" s="46"/>
      <c r="E204" s="46"/>
      <c r="F204" s="46"/>
      <c r="G204" s="46"/>
      <c r="H204" s="46"/>
      <c r="I204" s="46"/>
      <c r="J204" s="47"/>
      <c r="K204" s="123"/>
      <c r="L204" s="124"/>
      <c r="M204" s="124"/>
      <c r="N204" s="124"/>
      <c r="O204" s="124"/>
      <c r="P204" s="124"/>
      <c r="Q204" s="124"/>
      <c r="R204" s="124"/>
      <c r="S204" s="124"/>
      <c r="T204" s="125"/>
      <c r="U204" s="127"/>
      <c r="V204" s="127"/>
      <c r="W204" s="140" t="s">
        <v>84</v>
      </c>
      <c r="X204" s="140"/>
      <c r="Y204" s="120"/>
      <c r="Z204" s="121"/>
      <c r="AA204" s="121"/>
      <c r="AB204" s="121"/>
      <c r="AC204" s="121"/>
      <c r="AD204" s="122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/>
      <c r="AX204" s="141"/>
      <c r="AY204" s="141"/>
      <c r="AZ204" s="141"/>
      <c r="BA204" s="141"/>
      <c r="BB204" s="141"/>
      <c r="BC204" s="141"/>
      <c r="BD204" s="141"/>
      <c r="BE204" s="120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2"/>
      <c r="BR204" s="116"/>
      <c r="BS204" s="116"/>
      <c r="BU204" s="20"/>
    </row>
    <row r="205" spans="1:73" s="16" customFormat="1" ht="11.5" x14ac:dyDescent="0.25">
      <c r="A205" s="42" t="str">
        <f>+A143</f>
        <v>Hito: Subestación Nejapa rehabilitada</v>
      </c>
      <c r="B205" s="43"/>
      <c r="C205" s="43"/>
      <c r="D205" s="43"/>
      <c r="E205" s="43"/>
      <c r="F205" s="43"/>
      <c r="G205" s="43"/>
      <c r="H205" s="43"/>
      <c r="I205" s="43"/>
      <c r="J205" s="44"/>
      <c r="K205" s="87">
        <v>666500</v>
      </c>
      <c r="L205" s="88"/>
      <c r="M205" s="88"/>
      <c r="N205" s="88"/>
      <c r="O205" s="88"/>
      <c r="P205" s="88"/>
      <c r="Q205" s="88"/>
      <c r="R205" s="88"/>
      <c r="S205" s="88"/>
      <c r="T205" s="89"/>
      <c r="U205" s="126"/>
      <c r="V205" s="126"/>
      <c r="W205" s="245" t="s">
        <v>83</v>
      </c>
      <c r="X205" s="246"/>
      <c r="Y205" s="117">
        <v>0</v>
      </c>
      <c r="Z205" s="118"/>
      <c r="AA205" s="118"/>
      <c r="AB205" s="118"/>
      <c r="AC205" s="118"/>
      <c r="AD205" s="119"/>
      <c r="AE205" s="117">
        <v>666500</v>
      </c>
      <c r="AF205" s="118"/>
      <c r="AG205" s="118"/>
      <c r="AH205" s="118"/>
      <c r="AI205" s="118"/>
      <c r="AJ205" s="119"/>
      <c r="AK205" s="117">
        <v>0</v>
      </c>
      <c r="AL205" s="118"/>
      <c r="AM205" s="118"/>
      <c r="AN205" s="118"/>
      <c r="AO205" s="118"/>
      <c r="AP205" s="118"/>
      <c r="AQ205" s="119"/>
      <c r="AR205" s="117">
        <v>0</v>
      </c>
      <c r="AS205" s="118"/>
      <c r="AT205" s="118"/>
      <c r="AU205" s="118"/>
      <c r="AV205" s="119"/>
      <c r="AW205" s="117">
        <v>0</v>
      </c>
      <c r="AX205" s="118"/>
      <c r="AY205" s="118"/>
      <c r="AZ205" s="118"/>
      <c r="BA205" s="118"/>
      <c r="BB205" s="118"/>
      <c r="BC205" s="118"/>
      <c r="BD205" s="119"/>
      <c r="BE205" s="117">
        <v>0</v>
      </c>
      <c r="BF205" s="118"/>
      <c r="BG205" s="118"/>
      <c r="BH205" s="118"/>
      <c r="BI205" s="118"/>
      <c r="BJ205" s="118"/>
      <c r="BK205" s="118"/>
      <c r="BL205" s="118"/>
      <c r="BM205" s="118"/>
      <c r="BN205" s="118"/>
      <c r="BO205" s="118"/>
      <c r="BP205" s="118"/>
      <c r="BQ205" s="119"/>
      <c r="BR205" s="237">
        <f>SUM(Y205:BQ205)</f>
        <v>666500</v>
      </c>
      <c r="BS205" s="238"/>
    </row>
    <row r="206" spans="1:73" s="16" customFormat="1" ht="11.5" x14ac:dyDescent="0.25">
      <c r="A206" s="45"/>
      <c r="B206" s="46"/>
      <c r="C206" s="46"/>
      <c r="D206" s="46"/>
      <c r="E206" s="46"/>
      <c r="F206" s="46"/>
      <c r="G206" s="46"/>
      <c r="H206" s="46"/>
      <c r="I206" s="46"/>
      <c r="J206" s="47"/>
      <c r="K206" s="123"/>
      <c r="L206" s="124"/>
      <c r="M206" s="124"/>
      <c r="N206" s="124"/>
      <c r="O206" s="124"/>
      <c r="P206" s="124"/>
      <c r="Q206" s="124"/>
      <c r="R206" s="124"/>
      <c r="S206" s="124"/>
      <c r="T206" s="125"/>
      <c r="U206" s="127"/>
      <c r="V206" s="127"/>
      <c r="W206" s="140" t="s">
        <v>84</v>
      </c>
      <c r="X206" s="140"/>
      <c r="Y206" s="120"/>
      <c r="Z206" s="121"/>
      <c r="AA206" s="121"/>
      <c r="AB206" s="121"/>
      <c r="AC206" s="121"/>
      <c r="AD206" s="122"/>
      <c r="AE206" s="141"/>
      <c r="AF206" s="141"/>
      <c r="AG206" s="141"/>
      <c r="AH206" s="141"/>
      <c r="AI206" s="141"/>
      <c r="AJ206" s="141"/>
      <c r="AK206" s="141"/>
      <c r="AL206" s="141"/>
      <c r="AM206" s="141"/>
      <c r="AN206" s="141"/>
      <c r="AO206" s="141"/>
      <c r="AP206" s="141"/>
      <c r="AQ206" s="141"/>
      <c r="AR206" s="141"/>
      <c r="AS206" s="141"/>
      <c r="AT206" s="141"/>
      <c r="AU206" s="141"/>
      <c r="AV206" s="141"/>
      <c r="AW206" s="141"/>
      <c r="AX206" s="141"/>
      <c r="AY206" s="141"/>
      <c r="AZ206" s="141"/>
      <c r="BA206" s="141"/>
      <c r="BB206" s="141"/>
      <c r="BC206" s="141"/>
      <c r="BD206" s="141"/>
      <c r="BE206" s="120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2"/>
      <c r="BR206" s="116"/>
      <c r="BS206" s="116"/>
      <c r="BU206" s="20"/>
    </row>
    <row r="207" spans="1:73" s="16" customFormat="1" ht="18" customHeight="1" x14ac:dyDescent="0.25">
      <c r="A207" s="74" t="str">
        <f>+A145</f>
        <v>Proyectos de mejora de la eficiencia energética que no están en la muestra implementados.</v>
      </c>
      <c r="B207" s="75"/>
      <c r="C207" s="75"/>
      <c r="D207" s="75"/>
      <c r="E207" s="75"/>
      <c r="F207" s="75"/>
      <c r="G207" s="75"/>
      <c r="H207" s="75"/>
      <c r="I207" s="75"/>
      <c r="J207" s="76"/>
      <c r="K207" s="87">
        <v>36109830</v>
      </c>
      <c r="L207" s="88"/>
      <c r="M207" s="88"/>
      <c r="N207" s="88"/>
      <c r="O207" s="88"/>
      <c r="P207" s="88"/>
      <c r="Q207" s="88"/>
      <c r="R207" s="88"/>
      <c r="S207" s="88"/>
      <c r="T207" s="89"/>
      <c r="U207" s="126"/>
      <c r="V207" s="126"/>
      <c r="W207" s="245" t="s">
        <v>83</v>
      </c>
      <c r="X207" s="246"/>
      <c r="Y207" s="117">
        <v>0</v>
      </c>
      <c r="Z207" s="118"/>
      <c r="AA207" s="118"/>
      <c r="AB207" s="118"/>
      <c r="AC207" s="118"/>
      <c r="AD207" s="119"/>
      <c r="AE207" s="117">
        <v>0</v>
      </c>
      <c r="AF207" s="118"/>
      <c r="AG207" s="118"/>
      <c r="AH207" s="118"/>
      <c r="AI207" s="118"/>
      <c r="AJ207" s="119"/>
      <c r="AK207" s="117">
        <v>0</v>
      </c>
      <c r="AL207" s="118"/>
      <c r="AM207" s="118"/>
      <c r="AN207" s="118"/>
      <c r="AO207" s="118"/>
      <c r="AP207" s="118"/>
      <c r="AQ207" s="119"/>
      <c r="AR207" s="117">
        <v>5534154</v>
      </c>
      <c r="AS207" s="118"/>
      <c r="AT207" s="118"/>
      <c r="AU207" s="118"/>
      <c r="AV207" s="119"/>
      <c r="AW207" s="117">
        <v>14800693</v>
      </c>
      <c r="AX207" s="118"/>
      <c r="AY207" s="118"/>
      <c r="AZ207" s="118"/>
      <c r="BA207" s="118"/>
      <c r="BB207" s="118"/>
      <c r="BC207" s="118"/>
      <c r="BD207" s="119"/>
      <c r="BE207" s="117">
        <v>15774983</v>
      </c>
      <c r="BF207" s="118"/>
      <c r="BG207" s="118"/>
      <c r="BH207" s="118"/>
      <c r="BI207" s="118"/>
      <c r="BJ207" s="118"/>
      <c r="BK207" s="118"/>
      <c r="BL207" s="118"/>
      <c r="BM207" s="118"/>
      <c r="BN207" s="118"/>
      <c r="BO207" s="118"/>
      <c r="BP207" s="118"/>
      <c r="BQ207" s="119"/>
      <c r="BR207" s="237">
        <f>SUM(Y207:BQ207)</f>
        <v>36109830</v>
      </c>
      <c r="BS207" s="238"/>
    </row>
    <row r="208" spans="1:73" s="16" customFormat="1" ht="18.75" customHeight="1" x14ac:dyDescent="0.25">
      <c r="A208" s="77"/>
      <c r="B208" s="78"/>
      <c r="C208" s="78"/>
      <c r="D208" s="78"/>
      <c r="E208" s="78"/>
      <c r="F208" s="78"/>
      <c r="G208" s="78"/>
      <c r="H208" s="78"/>
      <c r="I208" s="78"/>
      <c r="J208" s="79"/>
      <c r="K208" s="123"/>
      <c r="L208" s="124"/>
      <c r="M208" s="124"/>
      <c r="N208" s="124"/>
      <c r="O208" s="124"/>
      <c r="P208" s="124"/>
      <c r="Q208" s="124"/>
      <c r="R208" s="124"/>
      <c r="S208" s="124"/>
      <c r="T208" s="125"/>
      <c r="U208" s="127"/>
      <c r="V208" s="127"/>
      <c r="W208" s="140" t="s">
        <v>84</v>
      </c>
      <c r="X208" s="140"/>
      <c r="Y208" s="120"/>
      <c r="Z208" s="121"/>
      <c r="AA208" s="121"/>
      <c r="AB208" s="121"/>
      <c r="AC208" s="121"/>
      <c r="AD208" s="122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s="141"/>
      <c r="AV208" s="141"/>
      <c r="AW208" s="141"/>
      <c r="AX208" s="141"/>
      <c r="AY208" s="141"/>
      <c r="AZ208" s="141"/>
      <c r="BA208" s="141"/>
      <c r="BB208" s="141"/>
      <c r="BC208" s="141"/>
      <c r="BD208" s="141"/>
      <c r="BE208" s="120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2"/>
      <c r="BR208" s="116"/>
      <c r="BS208" s="116"/>
      <c r="BU208" s="20"/>
    </row>
    <row r="209" spans="1:74" s="13" customFormat="1" ht="13.5" customHeight="1" x14ac:dyDescent="0.25">
      <c r="A209" s="163" t="s">
        <v>167</v>
      </c>
      <c r="B209" s="164"/>
      <c r="C209" s="164"/>
      <c r="D209" s="164"/>
      <c r="E209" s="164"/>
      <c r="F209" s="164"/>
      <c r="G209" s="164"/>
      <c r="H209" s="164"/>
      <c r="I209" s="164"/>
      <c r="J209" s="165"/>
      <c r="K209" s="160">
        <f>+K207+K193</f>
        <v>53549414</v>
      </c>
      <c r="L209" s="161"/>
      <c r="M209" s="161"/>
      <c r="N209" s="161"/>
      <c r="O209" s="161"/>
      <c r="P209" s="161"/>
      <c r="Q209" s="161"/>
      <c r="R209" s="161"/>
      <c r="S209" s="161"/>
      <c r="T209" s="162"/>
      <c r="U209" s="14"/>
      <c r="V209" s="15"/>
      <c r="W209" s="14"/>
      <c r="X209" s="15"/>
      <c r="Y209" s="160">
        <f>+Y207+Y186+Y184+Y205+Y201+Y199+Y203+Y197+Y193+Y195</f>
        <v>0</v>
      </c>
      <c r="Z209" s="161"/>
      <c r="AA209" s="161"/>
      <c r="AB209" s="161"/>
      <c r="AC209" s="161"/>
      <c r="AD209" s="161"/>
      <c r="AE209" s="161">
        <f>+AE207+AE193</f>
        <v>4414070</v>
      </c>
      <c r="AF209" s="161"/>
      <c r="AG209" s="161"/>
      <c r="AH209" s="161"/>
      <c r="AI209" s="161"/>
      <c r="AJ209" s="162"/>
      <c r="AK209" s="160">
        <f>+AK207+AK193</f>
        <v>13025514</v>
      </c>
      <c r="AL209" s="161"/>
      <c r="AM209" s="161"/>
      <c r="AN209" s="161"/>
      <c r="AO209" s="161"/>
      <c r="AP209" s="161"/>
      <c r="AQ209" s="162"/>
      <c r="AR209" s="160">
        <f>+AR207+AR193</f>
        <v>5534154</v>
      </c>
      <c r="AS209" s="161"/>
      <c r="AT209" s="161"/>
      <c r="AU209" s="161"/>
      <c r="AV209" s="162"/>
      <c r="AW209" s="71">
        <f>+AW207+AW193</f>
        <v>14800693</v>
      </c>
      <c r="AX209" s="72"/>
      <c r="AY209" s="72"/>
      <c r="AZ209" s="72"/>
      <c r="BA209" s="72"/>
      <c r="BB209" s="72"/>
      <c r="BC209" s="72"/>
      <c r="BD209" s="73"/>
      <c r="BE209" s="71">
        <f>+BE207+BE193</f>
        <v>15774983</v>
      </c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3"/>
      <c r="BR209" s="160">
        <f>SUM(Y209:BQ209)</f>
        <v>53549414</v>
      </c>
      <c r="BS209" s="162"/>
      <c r="BU209" s="21"/>
    </row>
    <row r="210" spans="1:74" s="12" customFormat="1" ht="7.5" customHeight="1" x14ac:dyDescent="0.25">
      <c r="A210" s="157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  <c r="BI210" s="158"/>
      <c r="BJ210" s="158"/>
      <c r="BK210" s="158"/>
      <c r="BL210" s="158"/>
      <c r="BM210" s="158"/>
      <c r="BN210" s="158"/>
      <c r="BO210" s="158"/>
      <c r="BP210" s="158"/>
      <c r="BQ210" s="158"/>
      <c r="BR210" s="158"/>
      <c r="BS210" s="159"/>
    </row>
    <row r="211" spans="1:74" s="8" customFormat="1" ht="13.5" customHeight="1" x14ac:dyDescent="0.25">
      <c r="A211" s="132" t="str">
        <f>+A148</f>
        <v>Componente 3: Mejora de la gestión</v>
      </c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  <c r="AO211" s="132"/>
      <c r="AP211" s="132"/>
      <c r="AQ211" s="132"/>
      <c r="AR211" s="132"/>
      <c r="AS211" s="132"/>
      <c r="AT211" s="132"/>
      <c r="AU211" s="132"/>
      <c r="AV211" s="132"/>
      <c r="AW211" s="132"/>
      <c r="AX211" s="132"/>
      <c r="AY211" s="132"/>
      <c r="AZ211" s="132"/>
      <c r="BA211" s="132"/>
      <c r="BB211" s="132"/>
      <c r="BC211" s="132"/>
      <c r="BD211" s="132"/>
      <c r="BE211" s="132"/>
      <c r="BF211" s="132"/>
      <c r="BG211" s="132"/>
      <c r="BH211" s="132"/>
      <c r="BI211" s="132"/>
      <c r="BJ211" s="132"/>
      <c r="BK211" s="132"/>
      <c r="BL211" s="132"/>
      <c r="BM211" s="132"/>
      <c r="BN211" s="132"/>
      <c r="BO211" s="132"/>
      <c r="BP211" s="132"/>
      <c r="BQ211" s="132"/>
      <c r="BR211" s="132"/>
      <c r="BS211" s="132"/>
    </row>
    <row r="212" spans="1:74" s="16" customFormat="1" ht="11.5" x14ac:dyDescent="0.25">
      <c r="A212" s="74" t="str">
        <f>+A149</f>
        <v>Plan de desarrollo organizacional de ANDA diseñado e implementado.</v>
      </c>
      <c r="B212" s="75"/>
      <c r="C212" s="75"/>
      <c r="D212" s="75"/>
      <c r="E212" s="75"/>
      <c r="F212" s="75"/>
      <c r="G212" s="75"/>
      <c r="H212" s="75"/>
      <c r="I212" s="75"/>
      <c r="J212" s="76"/>
      <c r="K212" s="239">
        <v>525234</v>
      </c>
      <c r="L212" s="240"/>
      <c r="M212" s="240"/>
      <c r="N212" s="240"/>
      <c r="O212" s="240"/>
      <c r="P212" s="240"/>
      <c r="Q212" s="240"/>
      <c r="R212" s="240"/>
      <c r="S212" s="240"/>
      <c r="T212" s="241"/>
      <c r="U212" s="126"/>
      <c r="V212" s="126"/>
      <c r="W212" s="245" t="s">
        <v>83</v>
      </c>
      <c r="X212" s="246"/>
      <c r="Y212" s="117">
        <v>0</v>
      </c>
      <c r="Z212" s="118"/>
      <c r="AA212" s="118"/>
      <c r="AB212" s="118"/>
      <c r="AC212" s="118"/>
      <c r="AD212" s="119"/>
      <c r="AE212" s="39">
        <v>105047</v>
      </c>
      <c r="AF212" s="40"/>
      <c r="AG212" s="40"/>
      <c r="AH212" s="40"/>
      <c r="AI212" s="40"/>
      <c r="AJ212" s="41"/>
      <c r="AK212" s="39">
        <v>157570</v>
      </c>
      <c r="AL212" s="40"/>
      <c r="AM212" s="40"/>
      <c r="AN212" s="40"/>
      <c r="AO212" s="40"/>
      <c r="AP212" s="40"/>
      <c r="AQ212" s="41"/>
      <c r="AR212" s="117">
        <v>262617</v>
      </c>
      <c r="AS212" s="118"/>
      <c r="AT212" s="118"/>
      <c r="AU212" s="118"/>
      <c r="AV212" s="119"/>
      <c r="AW212" s="117">
        <v>0</v>
      </c>
      <c r="AX212" s="118"/>
      <c r="AY212" s="118"/>
      <c r="AZ212" s="118"/>
      <c r="BA212" s="118"/>
      <c r="BB212" s="118"/>
      <c r="BC212" s="118"/>
      <c r="BD212" s="119"/>
      <c r="BE212" s="117">
        <v>0</v>
      </c>
      <c r="BF212" s="118"/>
      <c r="BG212" s="118"/>
      <c r="BH212" s="118"/>
      <c r="BI212" s="118"/>
      <c r="BJ212" s="118"/>
      <c r="BK212" s="118"/>
      <c r="BL212" s="118"/>
      <c r="BM212" s="118"/>
      <c r="BN212" s="118"/>
      <c r="BO212" s="118"/>
      <c r="BP212" s="118"/>
      <c r="BQ212" s="119"/>
      <c r="BR212" s="237">
        <f>SUM(Y212:BQ212)</f>
        <v>525234</v>
      </c>
      <c r="BS212" s="238"/>
    </row>
    <row r="213" spans="1:74" s="16" customFormat="1" ht="11.5" x14ac:dyDescent="0.25">
      <c r="A213" s="77"/>
      <c r="B213" s="78"/>
      <c r="C213" s="78"/>
      <c r="D213" s="78"/>
      <c r="E213" s="78"/>
      <c r="F213" s="78"/>
      <c r="G213" s="78"/>
      <c r="H213" s="78"/>
      <c r="I213" s="78"/>
      <c r="J213" s="79"/>
      <c r="K213" s="242"/>
      <c r="L213" s="243"/>
      <c r="M213" s="243"/>
      <c r="N213" s="243"/>
      <c r="O213" s="243"/>
      <c r="P213" s="243"/>
      <c r="Q213" s="243"/>
      <c r="R213" s="243"/>
      <c r="S213" s="243"/>
      <c r="T213" s="244"/>
      <c r="U213" s="127"/>
      <c r="V213" s="127"/>
      <c r="W213" s="140" t="s">
        <v>84</v>
      </c>
      <c r="X213" s="140"/>
      <c r="Y213" s="36"/>
      <c r="Z213" s="37"/>
      <c r="AA213" s="37"/>
      <c r="AB213" s="37"/>
      <c r="AC213" s="37"/>
      <c r="AD213" s="38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177"/>
      <c r="AS213" s="92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92"/>
      <c r="BE213" s="36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8"/>
      <c r="BR213" s="116"/>
      <c r="BS213" s="116"/>
      <c r="BU213" s="20"/>
    </row>
    <row r="214" spans="1:74" s="16" customFormat="1" ht="11.5" x14ac:dyDescent="0.25">
      <c r="A214" s="74" t="str">
        <f>+A151</f>
        <v>Plan de acción de Gobierno Corporativo implementado (al menos 2 actividades)</v>
      </c>
      <c r="B214" s="75"/>
      <c r="C214" s="75"/>
      <c r="D214" s="75"/>
      <c r="E214" s="75"/>
      <c r="F214" s="75"/>
      <c r="G214" s="75"/>
      <c r="H214" s="75"/>
      <c r="I214" s="75"/>
      <c r="J214" s="76"/>
      <c r="K214" s="239">
        <v>200000</v>
      </c>
      <c r="L214" s="240"/>
      <c r="M214" s="240"/>
      <c r="N214" s="240"/>
      <c r="O214" s="240"/>
      <c r="P214" s="240"/>
      <c r="Q214" s="240"/>
      <c r="R214" s="240"/>
      <c r="S214" s="240"/>
      <c r="T214" s="241"/>
      <c r="U214" s="126"/>
      <c r="V214" s="126"/>
      <c r="W214" s="245" t="s">
        <v>83</v>
      </c>
      <c r="X214" s="246"/>
      <c r="Y214" s="247">
        <v>0</v>
      </c>
      <c r="Z214" s="248"/>
      <c r="AA214" s="248"/>
      <c r="AB214" s="248"/>
      <c r="AC214" s="248"/>
      <c r="AD214" s="249"/>
      <c r="AE214" s="39">
        <v>0</v>
      </c>
      <c r="AF214" s="40"/>
      <c r="AG214" s="40"/>
      <c r="AH214" s="40"/>
      <c r="AI214" s="40"/>
      <c r="AJ214" s="41"/>
      <c r="AK214" s="39">
        <v>0</v>
      </c>
      <c r="AL214" s="40"/>
      <c r="AM214" s="40"/>
      <c r="AN214" s="40"/>
      <c r="AO214" s="40"/>
      <c r="AP214" s="40"/>
      <c r="AQ214" s="41"/>
      <c r="AR214" s="39">
        <v>0</v>
      </c>
      <c r="AS214" s="40"/>
      <c r="AT214" s="40"/>
      <c r="AU214" s="40"/>
      <c r="AV214" s="41"/>
      <c r="AW214" s="39">
        <v>200000</v>
      </c>
      <c r="AX214" s="40"/>
      <c r="AY214" s="40"/>
      <c r="AZ214" s="40"/>
      <c r="BA214" s="40"/>
      <c r="BB214" s="40"/>
      <c r="BC214" s="40"/>
      <c r="BD214" s="41"/>
      <c r="BE214" s="39">
        <v>0</v>
      </c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1"/>
      <c r="BR214" s="237">
        <f>SUM(Y214:BQ214)</f>
        <v>200000</v>
      </c>
      <c r="BS214" s="238"/>
    </row>
    <row r="215" spans="1:74" s="16" customFormat="1" ht="11.5" x14ac:dyDescent="0.25">
      <c r="A215" s="77"/>
      <c r="B215" s="78"/>
      <c r="C215" s="78"/>
      <c r="D215" s="78"/>
      <c r="E215" s="78"/>
      <c r="F215" s="78"/>
      <c r="G215" s="78"/>
      <c r="H215" s="78"/>
      <c r="I215" s="78"/>
      <c r="J215" s="79"/>
      <c r="K215" s="242"/>
      <c r="L215" s="243"/>
      <c r="M215" s="243"/>
      <c r="N215" s="243"/>
      <c r="O215" s="243"/>
      <c r="P215" s="243"/>
      <c r="Q215" s="243"/>
      <c r="R215" s="243"/>
      <c r="S215" s="243"/>
      <c r="T215" s="244"/>
      <c r="U215" s="127"/>
      <c r="V215" s="127"/>
      <c r="W215" s="140" t="s">
        <v>84</v>
      </c>
      <c r="X215" s="140"/>
      <c r="Y215" s="36"/>
      <c r="Z215" s="37"/>
      <c r="AA215" s="37"/>
      <c r="AB215" s="37"/>
      <c r="AC215" s="37"/>
      <c r="AD215" s="38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113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5"/>
      <c r="BR215" s="116"/>
      <c r="BS215" s="116"/>
    </row>
    <row r="216" spans="1:74" s="16" customFormat="1" ht="11.5" x14ac:dyDescent="0.25">
      <c r="A216" s="74" t="str">
        <f>+A153</f>
        <v>Plan de modernización tecnológica de ANDA diseñado e implementado</v>
      </c>
      <c r="B216" s="75"/>
      <c r="C216" s="75"/>
      <c r="D216" s="75"/>
      <c r="E216" s="75"/>
      <c r="F216" s="75"/>
      <c r="G216" s="75"/>
      <c r="H216" s="75"/>
      <c r="I216" s="75"/>
      <c r="J216" s="76"/>
      <c r="K216" s="239">
        <v>4000000</v>
      </c>
      <c r="L216" s="240"/>
      <c r="M216" s="240"/>
      <c r="N216" s="240"/>
      <c r="O216" s="240"/>
      <c r="P216" s="240"/>
      <c r="Q216" s="240"/>
      <c r="R216" s="240"/>
      <c r="S216" s="240"/>
      <c r="T216" s="241"/>
      <c r="U216" s="126"/>
      <c r="V216" s="126"/>
      <c r="W216" s="245" t="s">
        <v>83</v>
      </c>
      <c r="X216" s="246"/>
      <c r="Y216" s="247">
        <v>0</v>
      </c>
      <c r="Z216" s="248"/>
      <c r="AA216" s="248"/>
      <c r="AB216" s="248"/>
      <c r="AC216" s="248"/>
      <c r="AD216" s="249"/>
      <c r="AE216" s="39">
        <v>1200000</v>
      </c>
      <c r="AF216" s="40"/>
      <c r="AG216" s="40"/>
      <c r="AH216" s="40"/>
      <c r="AI216" s="40"/>
      <c r="AJ216" s="41"/>
      <c r="AK216" s="39">
        <v>800000</v>
      </c>
      <c r="AL216" s="40"/>
      <c r="AM216" s="40"/>
      <c r="AN216" s="40"/>
      <c r="AO216" s="40"/>
      <c r="AP216" s="40"/>
      <c r="AQ216" s="41"/>
      <c r="AR216" s="39">
        <v>800000</v>
      </c>
      <c r="AS216" s="40"/>
      <c r="AT216" s="40"/>
      <c r="AU216" s="40"/>
      <c r="AV216" s="41"/>
      <c r="AW216" s="39">
        <v>1200000</v>
      </c>
      <c r="AX216" s="40"/>
      <c r="AY216" s="40"/>
      <c r="AZ216" s="40"/>
      <c r="BA216" s="40"/>
      <c r="BB216" s="40"/>
      <c r="BC216" s="40"/>
      <c r="BD216" s="41"/>
      <c r="BE216" s="39">
        <v>0</v>
      </c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1"/>
      <c r="BR216" s="237">
        <f>SUM(Y216:BQ216)</f>
        <v>4000000</v>
      </c>
      <c r="BS216" s="238"/>
    </row>
    <row r="217" spans="1:74" s="16" customFormat="1" ht="11.5" x14ac:dyDescent="0.25">
      <c r="A217" s="77"/>
      <c r="B217" s="78"/>
      <c r="C217" s="78"/>
      <c r="D217" s="78"/>
      <c r="E217" s="78"/>
      <c r="F217" s="78"/>
      <c r="G217" s="78"/>
      <c r="H217" s="78"/>
      <c r="I217" s="78"/>
      <c r="J217" s="79"/>
      <c r="K217" s="242"/>
      <c r="L217" s="243"/>
      <c r="M217" s="243"/>
      <c r="N217" s="243"/>
      <c r="O217" s="243"/>
      <c r="P217" s="243"/>
      <c r="Q217" s="243"/>
      <c r="R217" s="243"/>
      <c r="S217" s="243"/>
      <c r="T217" s="244"/>
      <c r="U217" s="127"/>
      <c r="V217" s="127"/>
      <c r="W217" s="140" t="s">
        <v>84</v>
      </c>
      <c r="X217" s="140"/>
      <c r="Y217" s="36"/>
      <c r="Z217" s="37"/>
      <c r="AA217" s="37"/>
      <c r="AB217" s="37"/>
      <c r="AC217" s="37"/>
      <c r="AD217" s="38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113"/>
      <c r="BF217" s="114"/>
      <c r="BG217" s="114"/>
      <c r="BH217" s="114"/>
      <c r="BI217" s="114"/>
      <c r="BJ217" s="114"/>
      <c r="BK217" s="114"/>
      <c r="BL217" s="114"/>
      <c r="BM217" s="114"/>
      <c r="BN217" s="114"/>
      <c r="BO217" s="114"/>
      <c r="BP217" s="114"/>
      <c r="BQ217" s="115"/>
      <c r="BR217" s="116"/>
      <c r="BS217" s="116"/>
      <c r="BV217" s="20"/>
    </row>
    <row r="218" spans="1:74" s="16" customFormat="1" ht="11.5" x14ac:dyDescent="0.25">
      <c r="A218" s="74" t="str">
        <f>+A155</f>
        <v>Equipamientos  para la Unidad de Género adquiridos.</v>
      </c>
      <c r="B218" s="75"/>
      <c r="C218" s="75"/>
      <c r="D218" s="75"/>
      <c r="E218" s="75"/>
      <c r="F218" s="75"/>
      <c r="G218" s="75"/>
      <c r="H218" s="75"/>
      <c r="I218" s="75"/>
      <c r="J218" s="76"/>
      <c r="K218" s="239">
        <v>20000</v>
      </c>
      <c r="L218" s="240"/>
      <c r="M218" s="240"/>
      <c r="N218" s="240"/>
      <c r="O218" s="240"/>
      <c r="P218" s="240"/>
      <c r="Q218" s="240"/>
      <c r="R218" s="240"/>
      <c r="S218" s="240"/>
      <c r="T218" s="241"/>
      <c r="U218" s="126"/>
      <c r="V218" s="126"/>
      <c r="W218" s="245" t="s">
        <v>83</v>
      </c>
      <c r="X218" s="246"/>
      <c r="Y218" s="247">
        <v>0</v>
      </c>
      <c r="Z218" s="248"/>
      <c r="AA218" s="248"/>
      <c r="AB218" s="248"/>
      <c r="AC218" s="248"/>
      <c r="AD218" s="249"/>
      <c r="AE218" s="39">
        <v>20000</v>
      </c>
      <c r="AF218" s="40"/>
      <c r="AG218" s="40"/>
      <c r="AH218" s="40"/>
      <c r="AI218" s="40"/>
      <c r="AJ218" s="41"/>
      <c r="AK218" s="39">
        <v>0</v>
      </c>
      <c r="AL218" s="40"/>
      <c r="AM218" s="40"/>
      <c r="AN218" s="40"/>
      <c r="AO218" s="40"/>
      <c r="AP218" s="40"/>
      <c r="AQ218" s="41"/>
      <c r="AR218" s="39">
        <v>0</v>
      </c>
      <c r="AS218" s="40"/>
      <c r="AT218" s="40"/>
      <c r="AU218" s="40"/>
      <c r="AV218" s="41"/>
      <c r="AW218" s="39">
        <v>0</v>
      </c>
      <c r="AX218" s="40"/>
      <c r="AY218" s="40"/>
      <c r="AZ218" s="40"/>
      <c r="BA218" s="40"/>
      <c r="BB218" s="40"/>
      <c r="BC218" s="40"/>
      <c r="BD218" s="41"/>
      <c r="BE218" s="39">
        <v>0</v>
      </c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1"/>
      <c r="BR218" s="237">
        <f>SUM(Y218:BQ218)</f>
        <v>20000</v>
      </c>
      <c r="BS218" s="238"/>
    </row>
    <row r="219" spans="1:74" s="16" customFormat="1" ht="11.5" x14ac:dyDescent="0.25">
      <c r="A219" s="77"/>
      <c r="B219" s="78"/>
      <c r="C219" s="78"/>
      <c r="D219" s="78"/>
      <c r="E219" s="78"/>
      <c r="F219" s="78"/>
      <c r="G219" s="78"/>
      <c r="H219" s="78"/>
      <c r="I219" s="78"/>
      <c r="J219" s="79"/>
      <c r="K219" s="242"/>
      <c r="L219" s="243"/>
      <c r="M219" s="243"/>
      <c r="N219" s="243"/>
      <c r="O219" s="243"/>
      <c r="P219" s="243"/>
      <c r="Q219" s="243"/>
      <c r="R219" s="243"/>
      <c r="S219" s="243"/>
      <c r="T219" s="244"/>
      <c r="U219" s="127"/>
      <c r="V219" s="127"/>
      <c r="W219" s="140" t="s">
        <v>84</v>
      </c>
      <c r="X219" s="140"/>
      <c r="Y219" s="36"/>
      <c r="Z219" s="37"/>
      <c r="AA219" s="37"/>
      <c r="AB219" s="37"/>
      <c r="AC219" s="37"/>
      <c r="AD219" s="38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113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5"/>
      <c r="BR219" s="116"/>
      <c r="BS219" s="116"/>
      <c r="BV219" s="20"/>
    </row>
    <row r="220" spans="1:74" s="16" customFormat="1" ht="15.75" customHeight="1" x14ac:dyDescent="0.25">
      <c r="A220" s="74" t="str">
        <f>+A157</f>
        <v>Diagnóstico y política de género para la reducción de brechas laborales de ANDA actualizadas.</v>
      </c>
      <c r="B220" s="75"/>
      <c r="C220" s="75"/>
      <c r="D220" s="75"/>
      <c r="E220" s="75"/>
      <c r="F220" s="75"/>
      <c r="G220" s="75"/>
      <c r="H220" s="75"/>
      <c r="I220" s="75"/>
      <c r="J220" s="76"/>
      <c r="K220" s="239">
        <v>20000</v>
      </c>
      <c r="L220" s="240"/>
      <c r="M220" s="240"/>
      <c r="N220" s="240"/>
      <c r="O220" s="240"/>
      <c r="P220" s="240"/>
      <c r="Q220" s="240"/>
      <c r="R220" s="240"/>
      <c r="S220" s="240"/>
      <c r="T220" s="241"/>
      <c r="U220" s="126"/>
      <c r="V220" s="126"/>
      <c r="W220" s="245" t="s">
        <v>83</v>
      </c>
      <c r="X220" s="246"/>
      <c r="Y220" s="247">
        <v>0</v>
      </c>
      <c r="Z220" s="248"/>
      <c r="AA220" s="248"/>
      <c r="AB220" s="248"/>
      <c r="AC220" s="248"/>
      <c r="AD220" s="249"/>
      <c r="AE220" s="39">
        <v>20000</v>
      </c>
      <c r="AF220" s="40"/>
      <c r="AG220" s="40"/>
      <c r="AH220" s="40"/>
      <c r="AI220" s="40"/>
      <c r="AJ220" s="41"/>
      <c r="AK220" s="39">
        <v>0</v>
      </c>
      <c r="AL220" s="40"/>
      <c r="AM220" s="40"/>
      <c r="AN220" s="40"/>
      <c r="AO220" s="40"/>
      <c r="AP220" s="40"/>
      <c r="AQ220" s="41"/>
      <c r="AR220" s="39">
        <v>0</v>
      </c>
      <c r="AS220" s="40"/>
      <c r="AT220" s="40"/>
      <c r="AU220" s="40"/>
      <c r="AV220" s="41"/>
      <c r="AW220" s="39">
        <v>0</v>
      </c>
      <c r="AX220" s="40"/>
      <c r="AY220" s="40"/>
      <c r="AZ220" s="40"/>
      <c r="BA220" s="40"/>
      <c r="BB220" s="40"/>
      <c r="BC220" s="40"/>
      <c r="BD220" s="41"/>
      <c r="BE220" s="39">
        <v>0</v>
      </c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1"/>
      <c r="BR220" s="237">
        <f>SUM(Y220:BQ220)</f>
        <v>20000</v>
      </c>
      <c r="BS220" s="238"/>
    </row>
    <row r="221" spans="1:74" s="16" customFormat="1" ht="16.5" customHeight="1" x14ac:dyDescent="0.25">
      <c r="A221" s="77"/>
      <c r="B221" s="78"/>
      <c r="C221" s="78"/>
      <c r="D221" s="78"/>
      <c r="E221" s="78"/>
      <c r="F221" s="78"/>
      <c r="G221" s="78"/>
      <c r="H221" s="78"/>
      <c r="I221" s="78"/>
      <c r="J221" s="79"/>
      <c r="K221" s="242"/>
      <c r="L221" s="243"/>
      <c r="M221" s="243"/>
      <c r="N221" s="243"/>
      <c r="O221" s="243"/>
      <c r="P221" s="243"/>
      <c r="Q221" s="243"/>
      <c r="R221" s="243"/>
      <c r="S221" s="243"/>
      <c r="T221" s="244"/>
      <c r="U221" s="127"/>
      <c r="V221" s="127"/>
      <c r="W221" s="140" t="s">
        <v>84</v>
      </c>
      <c r="X221" s="140"/>
      <c r="Y221" s="36"/>
      <c r="Z221" s="37"/>
      <c r="AA221" s="37"/>
      <c r="AB221" s="37"/>
      <c r="AC221" s="37"/>
      <c r="AD221" s="38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113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5"/>
      <c r="BR221" s="116"/>
      <c r="BS221" s="116"/>
      <c r="BV221" s="20"/>
    </row>
    <row r="222" spans="1:74" s="16" customFormat="1" ht="11.5" x14ac:dyDescent="0.25">
      <c r="A222" s="74" t="str">
        <f>+A159</f>
        <v>Módulo de indicadores de género para el Sistema de Información ERP desarrollado</v>
      </c>
      <c r="B222" s="75"/>
      <c r="C222" s="75"/>
      <c r="D222" s="75"/>
      <c r="E222" s="75"/>
      <c r="F222" s="75"/>
      <c r="G222" s="75"/>
      <c r="H222" s="75"/>
      <c r="I222" s="75"/>
      <c r="J222" s="76"/>
      <c r="K222" s="239">
        <v>15000</v>
      </c>
      <c r="L222" s="240"/>
      <c r="M222" s="240"/>
      <c r="N222" s="240"/>
      <c r="O222" s="240"/>
      <c r="P222" s="240"/>
      <c r="Q222" s="240"/>
      <c r="R222" s="240"/>
      <c r="S222" s="240"/>
      <c r="T222" s="241"/>
      <c r="U222" s="126"/>
      <c r="V222" s="126"/>
      <c r="W222" s="245" t="s">
        <v>83</v>
      </c>
      <c r="X222" s="246"/>
      <c r="Y222" s="247">
        <v>0</v>
      </c>
      <c r="Z222" s="248"/>
      <c r="AA222" s="248"/>
      <c r="AB222" s="248"/>
      <c r="AC222" s="248"/>
      <c r="AD222" s="249"/>
      <c r="AE222" s="39">
        <v>15000</v>
      </c>
      <c r="AF222" s="40"/>
      <c r="AG222" s="40"/>
      <c r="AH222" s="40"/>
      <c r="AI222" s="40"/>
      <c r="AJ222" s="41"/>
      <c r="AK222" s="39">
        <v>0</v>
      </c>
      <c r="AL222" s="40"/>
      <c r="AM222" s="40"/>
      <c r="AN222" s="40"/>
      <c r="AO222" s="40"/>
      <c r="AP222" s="40"/>
      <c r="AQ222" s="41"/>
      <c r="AR222" s="39">
        <v>0</v>
      </c>
      <c r="AS222" s="40"/>
      <c r="AT222" s="40"/>
      <c r="AU222" s="40"/>
      <c r="AV222" s="41"/>
      <c r="AW222" s="39">
        <v>0</v>
      </c>
      <c r="AX222" s="40"/>
      <c r="AY222" s="40"/>
      <c r="AZ222" s="40"/>
      <c r="BA222" s="40"/>
      <c r="BB222" s="40"/>
      <c r="BC222" s="40"/>
      <c r="BD222" s="41"/>
      <c r="BE222" s="39">
        <v>0</v>
      </c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1"/>
      <c r="BR222" s="237">
        <f>SUM(Y222:BQ222)</f>
        <v>15000</v>
      </c>
      <c r="BS222" s="238"/>
    </row>
    <row r="223" spans="1:74" s="16" customFormat="1" ht="14.25" customHeight="1" x14ac:dyDescent="0.25">
      <c r="A223" s="77"/>
      <c r="B223" s="78"/>
      <c r="C223" s="78"/>
      <c r="D223" s="78"/>
      <c r="E223" s="78"/>
      <c r="F223" s="78"/>
      <c r="G223" s="78"/>
      <c r="H223" s="78"/>
      <c r="I223" s="78"/>
      <c r="J223" s="79"/>
      <c r="K223" s="242"/>
      <c r="L223" s="243"/>
      <c r="M223" s="243"/>
      <c r="N223" s="243"/>
      <c r="O223" s="243"/>
      <c r="P223" s="243"/>
      <c r="Q223" s="243"/>
      <c r="R223" s="243"/>
      <c r="S223" s="243"/>
      <c r="T223" s="244"/>
      <c r="U223" s="127"/>
      <c r="V223" s="127"/>
      <c r="W223" s="140" t="s">
        <v>84</v>
      </c>
      <c r="X223" s="140"/>
      <c r="Y223" s="36"/>
      <c r="Z223" s="37"/>
      <c r="AA223" s="37"/>
      <c r="AB223" s="37"/>
      <c r="AC223" s="37"/>
      <c r="AD223" s="38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113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5"/>
      <c r="BR223" s="116"/>
      <c r="BS223" s="116"/>
      <c r="BV223" s="20"/>
    </row>
    <row r="224" spans="1:74" s="16" customFormat="1" ht="17.25" customHeight="1" x14ac:dyDescent="0.25">
      <c r="A224" s="74" t="str">
        <f>+A161</f>
        <v>Estrategia de inclusión laboral de personas con discapacidad en ANDA diseñada</v>
      </c>
      <c r="B224" s="75"/>
      <c r="C224" s="75"/>
      <c r="D224" s="75"/>
      <c r="E224" s="75"/>
      <c r="F224" s="75"/>
      <c r="G224" s="75"/>
      <c r="H224" s="75"/>
      <c r="I224" s="75"/>
      <c r="J224" s="76"/>
      <c r="K224" s="239">
        <v>20000</v>
      </c>
      <c r="L224" s="240"/>
      <c r="M224" s="240"/>
      <c r="N224" s="240"/>
      <c r="O224" s="240"/>
      <c r="P224" s="240"/>
      <c r="Q224" s="240"/>
      <c r="R224" s="240"/>
      <c r="S224" s="240"/>
      <c r="T224" s="241"/>
      <c r="U224" s="126"/>
      <c r="V224" s="126"/>
      <c r="W224" s="245" t="s">
        <v>83</v>
      </c>
      <c r="X224" s="246"/>
      <c r="Y224" s="247">
        <v>0</v>
      </c>
      <c r="Z224" s="248"/>
      <c r="AA224" s="248"/>
      <c r="AB224" s="248"/>
      <c r="AC224" s="248"/>
      <c r="AD224" s="249"/>
      <c r="AE224" s="39">
        <v>20000</v>
      </c>
      <c r="AF224" s="40"/>
      <c r="AG224" s="40"/>
      <c r="AH224" s="40"/>
      <c r="AI224" s="40"/>
      <c r="AJ224" s="41"/>
      <c r="AK224" s="39">
        <v>0</v>
      </c>
      <c r="AL224" s="40"/>
      <c r="AM224" s="40"/>
      <c r="AN224" s="40"/>
      <c r="AO224" s="40"/>
      <c r="AP224" s="40"/>
      <c r="AQ224" s="41"/>
      <c r="AR224" s="39">
        <v>0</v>
      </c>
      <c r="AS224" s="40"/>
      <c r="AT224" s="40"/>
      <c r="AU224" s="40"/>
      <c r="AV224" s="41"/>
      <c r="AW224" s="39">
        <v>0</v>
      </c>
      <c r="AX224" s="40"/>
      <c r="AY224" s="40"/>
      <c r="AZ224" s="40"/>
      <c r="BA224" s="40"/>
      <c r="BB224" s="40"/>
      <c r="BC224" s="40"/>
      <c r="BD224" s="41"/>
      <c r="BE224" s="39">
        <v>0</v>
      </c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1"/>
      <c r="BR224" s="237">
        <f>SUM(Y224:BQ224)</f>
        <v>20000</v>
      </c>
      <c r="BS224" s="238"/>
    </row>
    <row r="225" spans="1:78" s="16" customFormat="1" ht="17.25" customHeight="1" x14ac:dyDescent="0.25">
      <c r="A225" s="77"/>
      <c r="B225" s="78"/>
      <c r="C225" s="78"/>
      <c r="D225" s="78"/>
      <c r="E225" s="78"/>
      <c r="F225" s="78"/>
      <c r="G225" s="78"/>
      <c r="H225" s="78"/>
      <c r="I225" s="78"/>
      <c r="J225" s="79"/>
      <c r="K225" s="242"/>
      <c r="L225" s="243"/>
      <c r="M225" s="243"/>
      <c r="N225" s="243"/>
      <c r="O225" s="243"/>
      <c r="P225" s="243"/>
      <c r="Q225" s="243"/>
      <c r="R225" s="243"/>
      <c r="S225" s="243"/>
      <c r="T225" s="244"/>
      <c r="U225" s="127"/>
      <c r="V225" s="127"/>
      <c r="W225" s="140" t="s">
        <v>84</v>
      </c>
      <c r="X225" s="140"/>
      <c r="Y225" s="36"/>
      <c r="Z225" s="37"/>
      <c r="AA225" s="37"/>
      <c r="AB225" s="37"/>
      <c r="AC225" s="37"/>
      <c r="AD225" s="38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113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5"/>
      <c r="BR225" s="116"/>
      <c r="BS225" s="116"/>
      <c r="BV225" s="20"/>
    </row>
    <row r="226" spans="1:78" s="16" customFormat="1" ht="11.5" x14ac:dyDescent="0.25">
      <c r="A226" s="74" t="str">
        <f>+A163</f>
        <v>Plan Maestro de Agua y Saneamiento para el AMSS desarrollado.</v>
      </c>
      <c r="B226" s="75"/>
      <c r="C226" s="75"/>
      <c r="D226" s="75"/>
      <c r="E226" s="75"/>
      <c r="F226" s="75"/>
      <c r="G226" s="75"/>
      <c r="H226" s="75"/>
      <c r="I226" s="75"/>
      <c r="J226" s="76"/>
      <c r="K226" s="239">
        <v>1800000</v>
      </c>
      <c r="L226" s="240"/>
      <c r="M226" s="240"/>
      <c r="N226" s="240"/>
      <c r="O226" s="240"/>
      <c r="P226" s="240"/>
      <c r="Q226" s="240"/>
      <c r="R226" s="240"/>
      <c r="S226" s="240"/>
      <c r="T226" s="241"/>
      <c r="U226" s="126"/>
      <c r="V226" s="126"/>
      <c r="W226" s="245" t="s">
        <v>83</v>
      </c>
      <c r="X226" s="246"/>
      <c r="Y226" s="247">
        <v>0</v>
      </c>
      <c r="Z226" s="248"/>
      <c r="AA226" s="248"/>
      <c r="AB226" s="248"/>
      <c r="AC226" s="248"/>
      <c r="AD226" s="249"/>
      <c r="AE226" s="39">
        <v>0</v>
      </c>
      <c r="AF226" s="40"/>
      <c r="AG226" s="40"/>
      <c r="AH226" s="40"/>
      <c r="AI226" s="40"/>
      <c r="AJ226" s="41"/>
      <c r="AK226" s="39">
        <v>0</v>
      </c>
      <c r="AL226" s="40"/>
      <c r="AM226" s="40"/>
      <c r="AN226" s="40"/>
      <c r="AO226" s="40"/>
      <c r="AP226" s="40"/>
      <c r="AQ226" s="41"/>
      <c r="AR226" s="39">
        <v>540000</v>
      </c>
      <c r="AS226" s="40"/>
      <c r="AT226" s="40"/>
      <c r="AU226" s="40"/>
      <c r="AV226" s="41"/>
      <c r="AW226" s="39">
        <v>900000</v>
      </c>
      <c r="AX226" s="40"/>
      <c r="AY226" s="40"/>
      <c r="AZ226" s="40"/>
      <c r="BA226" s="40"/>
      <c r="BB226" s="40"/>
      <c r="BC226" s="40"/>
      <c r="BD226" s="41"/>
      <c r="BE226" s="39">
        <v>360000</v>
      </c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1"/>
      <c r="BR226" s="237">
        <f>SUM(Y226:BQ226)</f>
        <v>1800000</v>
      </c>
      <c r="BS226" s="238"/>
    </row>
    <row r="227" spans="1:78" s="16" customFormat="1" ht="11.5" x14ac:dyDescent="0.25">
      <c r="A227" s="77"/>
      <c r="B227" s="78"/>
      <c r="C227" s="78"/>
      <c r="D227" s="78"/>
      <c r="E227" s="78"/>
      <c r="F227" s="78"/>
      <c r="G227" s="78"/>
      <c r="H227" s="78"/>
      <c r="I227" s="78"/>
      <c r="J227" s="79"/>
      <c r="K227" s="242"/>
      <c r="L227" s="243"/>
      <c r="M227" s="243"/>
      <c r="N227" s="243"/>
      <c r="O227" s="243"/>
      <c r="P227" s="243"/>
      <c r="Q227" s="243"/>
      <c r="R227" s="243"/>
      <c r="S227" s="243"/>
      <c r="T227" s="244"/>
      <c r="U227" s="127"/>
      <c r="V227" s="127"/>
      <c r="W227" s="140" t="s">
        <v>84</v>
      </c>
      <c r="X227" s="140"/>
      <c r="Y227" s="36"/>
      <c r="Z227" s="37"/>
      <c r="AA227" s="37"/>
      <c r="AB227" s="37"/>
      <c r="AC227" s="37"/>
      <c r="AD227" s="38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113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5"/>
      <c r="BR227" s="116"/>
      <c r="BS227" s="116"/>
      <c r="BV227" s="20"/>
    </row>
    <row r="228" spans="1:78" s="16" customFormat="1" ht="11.5" x14ac:dyDescent="0.25">
      <c r="A228" s="74" t="str">
        <f>+A165</f>
        <v>Programa de planificación estratégica y financiera de ANDA implementado .</v>
      </c>
      <c r="B228" s="75"/>
      <c r="C228" s="75"/>
      <c r="D228" s="75"/>
      <c r="E228" s="75"/>
      <c r="F228" s="75"/>
      <c r="G228" s="75"/>
      <c r="H228" s="75"/>
      <c r="I228" s="75"/>
      <c r="J228" s="76"/>
      <c r="K228" s="239">
        <v>1400000</v>
      </c>
      <c r="L228" s="240"/>
      <c r="M228" s="240"/>
      <c r="N228" s="240"/>
      <c r="O228" s="240"/>
      <c r="P228" s="240"/>
      <c r="Q228" s="240"/>
      <c r="R228" s="240"/>
      <c r="S228" s="240"/>
      <c r="T228" s="241"/>
      <c r="U228" s="126"/>
      <c r="V228" s="126"/>
      <c r="W228" s="245" t="s">
        <v>83</v>
      </c>
      <c r="X228" s="246"/>
      <c r="Y228" s="247">
        <v>0</v>
      </c>
      <c r="Z228" s="248"/>
      <c r="AA228" s="248"/>
      <c r="AB228" s="248"/>
      <c r="AC228" s="248"/>
      <c r="AD228" s="249"/>
      <c r="AE228" s="39">
        <v>0</v>
      </c>
      <c r="AF228" s="40"/>
      <c r="AG228" s="40"/>
      <c r="AH228" s="40"/>
      <c r="AI228" s="40"/>
      <c r="AJ228" s="41"/>
      <c r="AK228" s="39">
        <v>0</v>
      </c>
      <c r="AL228" s="40"/>
      <c r="AM228" s="40"/>
      <c r="AN228" s="40"/>
      <c r="AO228" s="40"/>
      <c r="AP228" s="40"/>
      <c r="AQ228" s="41"/>
      <c r="AR228" s="39">
        <v>420000</v>
      </c>
      <c r="AS228" s="40"/>
      <c r="AT228" s="40"/>
      <c r="AU228" s="40"/>
      <c r="AV228" s="41"/>
      <c r="AW228" s="39">
        <v>700000</v>
      </c>
      <c r="AX228" s="40"/>
      <c r="AY228" s="40"/>
      <c r="AZ228" s="40"/>
      <c r="BA228" s="40"/>
      <c r="BB228" s="40"/>
      <c r="BC228" s="40"/>
      <c r="BD228" s="41"/>
      <c r="BE228" s="39">
        <v>280000</v>
      </c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1"/>
      <c r="BR228" s="237">
        <f>SUM(Y228:BQ228)</f>
        <v>1400000</v>
      </c>
      <c r="BS228" s="238"/>
    </row>
    <row r="229" spans="1:78" s="16" customFormat="1" ht="11.5" x14ac:dyDescent="0.25">
      <c r="A229" s="77"/>
      <c r="B229" s="78"/>
      <c r="C229" s="78"/>
      <c r="D229" s="78"/>
      <c r="E229" s="78"/>
      <c r="F229" s="78"/>
      <c r="G229" s="78"/>
      <c r="H229" s="78"/>
      <c r="I229" s="78"/>
      <c r="J229" s="79"/>
      <c r="K229" s="242"/>
      <c r="L229" s="243"/>
      <c r="M229" s="243"/>
      <c r="N229" s="243"/>
      <c r="O229" s="243"/>
      <c r="P229" s="243"/>
      <c r="Q229" s="243"/>
      <c r="R229" s="243"/>
      <c r="S229" s="243"/>
      <c r="T229" s="244"/>
      <c r="U229" s="127"/>
      <c r="V229" s="127"/>
      <c r="W229" s="140" t="s">
        <v>84</v>
      </c>
      <c r="X229" s="140"/>
      <c r="Y229" s="36"/>
      <c r="Z229" s="37"/>
      <c r="AA229" s="37"/>
      <c r="AB229" s="37"/>
      <c r="AC229" s="37"/>
      <c r="AD229" s="38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113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5"/>
      <c r="BR229" s="116"/>
      <c r="BS229" s="116"/>
      <c r="BV229" s="20"/>
    </row>
    <row r="230" spans="1:78" s="16" customFormat="1" ht="11.5" x14ac:dyDescent="0.25">
      <c r="A230" s="74" t="str">
        <f>+A167</f>
        <v>Plan de comunicación de ANDA diseñado e implementado.</v>
      </c>
      <c r="B230" s="75"/>
      <c r="C230" s="75"/>
      <c r="D230" s="75"/>
      <c r="E230" s="75"/>
      <c r="F230" s="75"/>
      <c r="G230" s="75"/>
      <c r="H230" s="75"/>
      <c r="I230" s="75"/>
      <c r="J230" s="76"/>
      <c r="K230" s="239">
        <v>250000</v>
      </c>
      <c r="L230" s="240"/>
      <c r="M230" s="240"/>
      <c r="N230" s="240"/>
      <c r="O230" s="240"/>
      <c r="P230" s="240"/>
      <c r="Q230" s="240"/>
      <c r="R230" s="240"/>
      <c r="S230" s="240"/>
      <c r="T230" s="241"/>
      <c r="U230" s="126"/>
      <c r="V230" s="126"/>
      <c r="W230" s="245" t="s">
        <v>83</v>
      </c>
      <c r="X230" s="246"/>
      <c r="Y230" s="247">
        <v>0</v>
      </c>
      <c r="Z230" s="248"/>
      <c r="AA230" s="248"/>
      <c r="AB230" s="248"/>
      <c r="AC230" s="248"/>
      <c r="AD230" s="249"/>
      <c r="AE230" s="39">
        <v>50000</v>
      </c>
      <c r="AF230" s="40"/>
      <c r="AG230" s="40"/>
      <c r="AH230" s="40"/>
      <c r="AI230" s="40"/>
      <c r="AJ230" s="41"/>
      <c r="AK230" s="39">
        <v>50000</v>
      </c>
      <c r="AL230" s="40"/>
      <c r="AM230" s="40"/>
      <c r="AN230" s="40"/>
      <c r="AO230" s="40"/>
      <c r="AP230" s="40"/>
      <c r="AQ230" s="41"/>
      <c r="AR230" s="39">
        <v>50000</v>
      </c>
      <c r="AS230" s="40"/>
      <c r="AT230" s="40"/>
      <c r="AU230" s="40"/>
      <c r="AV230" s="41"/>
      <c r="AW230" s="39">
        <v>50000</v>
      </c>
      <c r="AX230" s="40"/>
      <c r="AY230" s="40"/>
      <c r="AZ230" s="40"/>
      <c r="BA230" s="40"/>
      <c r="BB230" s="40"/>
      <c r="BC230" s="40"/>
      <c r="BD230" s="41"/>
      <c r="BE230" s="39">
        <v>50000</v>
      </c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1"/>
      <c r="BR230" s="237">
        <f>SUM(Y230:BQ230)</f>
        <v>250000</v>
      </c>
      <c r="BS230" s="238"/>
    </row>
    <row r="231" spans="1:78" s="16" customFormat="1" ht="11.5" x14ac:dyDescent="0.25">
      <c r="A231" s="77"/>
      <c r="B231" s="78"/>
      <c r="C231" s="78"/>
      <c r="D231" s="78"/>
      <c r="E231" s="78"/>
      <c r="F231" s="78"/>
      <c r="G231" s="78"/>
      <c r="H231" s="78"/>
      <c r="I231" s="78"/>
      <c r="J231" s="79"/>
      <c r="K231" s="242"/>
      <c r="L231" s="243"/>
      <c r="M231" s="243"/>
      <c r="N231" s="243"/>
      <c r="O231" s="243"/>
      <c r="P231" s="243"/>
      <c r="Q231" s="243"/>
      <c r="R231" s="243"/>
      <c r="S231" s="243"/>
      <c r="T231" s="244"/>
      <c r="U231" s="127"/>
      <c r="V231" s="127"/>
      <c r="W231" s="140" t="s">
        <v>84</v>
      </c>
      <c r="X231" s="140"/>
      <c r="Y231" s="36"/>
      <c r="Z231" s="37"/>
      <c r="AA231" s="37"/>
      <c r="AB231" s="37"/>
      <c r="AC231" s="37"/>
      <c r="AD231" s="38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113"/>
      <c r="BF231" s="114"/>
      <c r="BG231" s="114"/>
      <c r="BH231" s="114"/>
      <c r="BI231" s="114"/>
      <c r="BJ231" s="114"/>
      <c r="BK231" s="114"/>
      <c r="BL231" s="114"/>
      <c r="BM231" s="114"/>
      <c r="BN231" s="114"/>
      <c r="BO231" s="114"/>
      <c r="BP231" s="114"/>
      <c r="BQ231" s="115"/>
      <c r="BR231" s="116"/>
      <c r="BS231" s="116"/>
      <c r="BV231" s="20"/>
    </row>
    <row r="232" spans="1:78" s="16" customFormat="1" ht="11.5" x14ac:dyDescent="0.25">
      <c r="A232" s="74" t="str">
        <f>+A169</f>
        <v>Set de normas técnicas de ANDA actualizadas</v>
      </c>
      <c r="B232" s="75"/>
      <c r="C232" s="75"/>
      <c r="D232" s="75"/>
      <c r="E232" s="75"/>
      <c r="F232" s="75"/>
      <c r="G232" s="75"/>
      <c r="H232" s="75"/>
      <c r="I232" s="75"/>
      <c r="J232" s="76"/>
      <c r="K232" s="239">
        <v>200000</v>
      </c>
      <c r="L232" s="240"/>
      <c r="M232" s="240"/>
      <c r="N232" s="240"/>
      <c r="O232" s="240"/>
      <c r="P232" s="240"/>
      <c r="Q232" s="240"/>
      <c r="R232" s="240"/>
      <c r="S232" s="240"/>
      <c r="T232" s="241"/>
      <c r="U232" s="126"/>
      <c r="V232" s="126"/>
      <c r="W232" s="245" t="s">
        <v>83</v>
      </c>
      <c r="X232" s="246"/>
      <c r="Y232" s="247">
        <v>0</v>
      </c>
      <c r="Z232" s="248"/>
      <c r="AA232" s="248"/>
      <c r="AB232" s="248"/>
      <c r="AC232" s="248"/>
      <c r="AD232" s="249"/>
      <c r="AE232" s="39">
        <v>80000</v>
      </c>
      <c r="AF232" s="40"/>
      <c r="AG232" s="40"/>
      <c r="AH232" s="40"/>
      <c r="AI232" s="40"/>
      <c r="AJ232" s="41"/>
      <c r="AK232" s="39">
        <v>80000</v>
      </c>
      <c r="AL232" s="40"/>
      <c r="AM232" s="40"/>
      <c r="AN232" s="40"/>
      <c r="AO232" s="40"/>
      <c r="AP232" s="40"/>
      <c r="AQ232" s="41"/>
      <c r="AR232" s="39">
        <v>40000</v>
      </c>
      <c r="AS232" s="40"/>
      <c r="AT232" s="40"/>
      <c r="AU232" s="40"/>
      <c r="AV232" s="41"/>
      <c r="AW232" s="39">
        <v>0</v>
      </c>
      <c r="AX232" s="40"/>
      <c r="AY232" s="40"/>
      <c r="AZ232" s="40"/>
      <c r="BA232" s="40"/>
      <c r="BB232" s="40"/>
      <c r="BC232" s="40"/>
      <c r="BD232" s="41"/>
      <c r="BE232" s="39">
        <v>0</v>
      </c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1"/>
      <c r="BR232" s="237">
        <f>SUM(Y232:BQ232)</f>
        <v>200000</v>
      </c>
      <c r="BS232" s="238"/>
    </row>
    <row r="233" spans="1:78" s="16" customFormat="1" ht="11.5" x14ac:dyDescent="0.25">
      <c r="A233" s="77"/>
      <c r="B233" s="78"/>
      <c r="C233" s="78"/>
      <c r="D233" s="78"/>
      <c r="E233" s="78"/>
      <c r="F233" s="78"/>
      <c r="G233" s="78"/>
      <c r="H233" s="78"/>
      <c r="I233" s="78"/>
      <c r="J233" s="79"/>
      <c r="K233" s="242"/>
      <c r="L233" s="243"/>
      <c r="M233" s="243"/>
      <c r="N233" s="243"/>
      <c r="O233" s="243"/>
      <c r="P233" s="243"/>
      <c r="Q233" s="243"/>
      <c r="R233" s="243"/>
      <c r="S233" s="243"/>
      <c r="T233" s="244"/>
      <c r="U233" s="127"/>
      <c r="V233" s="127"/>
      <c r="W233" s="140" t="s">
        <v>84</v>
      </c>
      <c r="X233" s="140"/>
      <c r="Y233" s="36"/>
      <c r="Z233" s="37"/>
      <c r="AA233" s="37"/>
      <c r="AB233" s="37"/>
      <c r="AC233" s="37"/>
      <c r="AD233" s="38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113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5"/>
      <c r="BR233" s="116"/>
      <c r="BS233" s="116"/>
      <c r="BV233" s="20"/>
    </row>
    <row r="234" spans="1:78" s="16" customFormat="1" ht="11.5" x14ac:dyDescent="0.25">
      <c r="A234" s="74" t="str">
        <f>+A171</f>
        <v>Laboratorios de calidad de agua fortalecidos</v>
      </c>
      <c r="B234" s="75"/>
      <c r="C234" s="75"/>
      <c r="D234" s="75"/>
      <c r="E234" s="75"/>
      <c r="F234" s="75"/>
      <c r="G234" s="75"/>
      <c r="H234" s="75"/>
      <c r="I234" s="75"/>
      <c r="J234" s="76"/>
      <c r="K234" s="239">
        <v>700000</v>
      </c>
      <c r="L234" s="240"/>
      <c r="M234" s="240"/>
      <c r="N234" s="240"/>
      <c r="O234" s="240"/>
      <c r="P234" s="240"/>
      <c r="Q234" s="240"/>
      <c r="R234" s="240"/>
      <c r="S234" s="240"/>
      <c r="T234" s="241"/>
      <c r="U234" s="126"/>
      <c r="V234" s="126"/>
      <c r="W234" s="245" t="s">
        <v>83</v>
      </c>
      <c r="X234" s="246"/>
      <c r="Y234" s="247">
        <v>0</v>
      </c>
      <c r="Z234" s="248"/>
      <c r="AA234" s="248"/>
      <c r="AB234" s="248"/>
      <c r="AC234" s="248"/>
      <c r="AD234" s="249"/>
      <c r="AE234" s="39">
        <v>280000</v>
      </c>
      <c r="AF234" s="40"/>
      <c r="AG234" s="40"/>
      <c r="AH234" s="40"/>
      <c r="AI234" s="40"/>
      <c r="AJ234" s="41"/>
      <c r="AK234" s="39">
        <v>210000</v>
      </c>
      <c r="AL234" s="40"/>
      <c r="AM234" s="40"/>
      <c r="AN234" s="40"/>
      <c r="AO234" s="40"/>
      <c r="AP234" s="40"/>
      <c r="AQ234" s="41"/>
      <c r="AR234" s="39">
        <v>210000</v>
      </c>
      <c r="AS234" s="40"/>
      <c r="AT234" s="40"/>
      <c r="AU234" s="40"/>
      <c r="AV234" s="41"/>
      <c r="AW234" s="39">
        <v>0</v>
      </c>
      <c r="AX234" s="40"/>
      <c r="AY234" s="40"/>
      <c r="AZ234" s="40"/>
      <c r="BA234" s="40"/>
      <c r="BB234" s="40"/>
      <c r="BC234" s="40"/>
      <c r="BD234" s="41"/>
      <c r="BE234" s="39">
        <v>0</v>
      </c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1"/>
      <c r="BR234" s="237">
        <f>SUM(Y234:BQ234)</f>
        <v>700000</v>
      </c>
      <c r="BS234" s="238"/>
    </row>
    <row r="235" spans="1:78" s="16" customFormat="1" ht="11.5" x14ac:dyDescent="0.25">
      <c r="A235" s="77"/>
      <c r="B235" s="78"/>
      <c r="C235" s="78"/>
      <c r="D235" s="78"/>
      <c r="E235" s="78"/>
      <c r="F235" s="78"/>
      <c r="G235" s="78"/>
      <c r="H235" s="78"/>
      <c r="I235" s="78"/>
      <c r="J235" s="79"/>
      <c r="K235" s="242"/>
      <c r="L235" s="243"/>
      <c r="M235" s="243"/>
      <c r="N235" s="243"/>
      <c r="O235" s="243"/>
      <c r="P235" s="243"/>
      <c r="Q235" s="243"/>
      <c r="R235" s="243"/>
      <c r="S235" s="243"/>
      <c r="T235" s="244"/>
      <c r="U235" s="127"/>
      <c r="V235" s="127"/>
      <c r="W235" s="140" t="s">
        <v>84</v>
      </c>
      <c r="X235" s="140"/>
      <c r="Y235" s="36"/>
      <c r="Z235" s="37"/>
      <c r="AA235" s="37"/>
      <c r="AB235" s="37"/>
      <c r="AC235" s="37"/>
      <c r="AD235" s="38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113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5"/>
      <c r="BR235" s="116"/>
      <c r="BS235" s="116"/>
      <c r="BV235" s="20"/>
    </row>
    <row r="236" spans="1:78" s="13" customFormat="1" ht="13.5" customHeight="1" x14ac:dyDescent="0.25">
      <c r="A236" s="163" t="s">
        <v>168</v>
      </c>
      <c r="B236" s="164"/>
      <c r="C236" s="164"/>
      <c r="D236" s="164"/>
      <c r="E236" s="164"/>
      <c r="F236" s="164"/>
      <c r="G236" s="164"/>
      <c r="H236" s="164"/>
      <c r="I236" s="164"/>
      <c r="J236" s="165"/>
      <c r="K236" s="160">
        <f>SUM(K212:T235)</f>
        <v>9150234</v>
      </c>
      <c r="L236" s="161"/>
      <c r="M236" s="161"/>
      <c r="N236" s="161"/>
      <c r="O236" s="161"/>
      <c r="P236" s="161"/>
      <c r="Q236" s="161"/>
      <c r="R236" s="161"/>
      <c r="S236" s="161"/>
      <c r="T236" s="162"/>
      <c r="U236" s="14"/>
      <c r="V236" s="15"/>
      <c r="W236" s="14"/>
      <c r="X236" s="15"/>
      <c r="Y236" s="160">
        <f>+Y226+Y224+Y222+Y220+Y218+Y216+Y214+Y212</f>
        <v>0</v>
      </c>
      <c r="Z236" s="161"/>
      <c r="AA236" s="161"/>
      <c r="AB236" s="161"/>
      <c r="AC236" s="161"/>
      <c r="AD236" s="161"/>
      <c r="AE236" s="161">
        <f>+AE216+AE214+AE212+AE218+AE220+AE222+AE224+AE226+AE234+AE232+AE230+AE228</f>
        <v>1790047</v>
      </c>
      <c r="AF236" s="161"/>
      <c r="AG236" s="161"/>
      <c r="AH236" s="161"/>
      <c r="AI236" s="161"/>
      <c r="AJ236" s="162"/>
      <c r="AK236" s="160">
        <f>+AK216+AK214+AK212+AK218+AK220+AK222+AK224++AK226+AK234+AK232+AK230+AK228</f>
        <v>1297570</v>
      </c>
      <c r="AL236" s="161"/>
      <c r="AM236" s="161"/>
      <c r="AN236" s="161"/>
      <c r="AO236" s="161"/>
      <c r="AP236" s="161"/>
      <c r="AQ236" s="162"/>
      <c r="AR236" s="160">
        <f>+AR216+AR214+AR212+AR218+AR220+AR222+AR224++AR226+AR228+AR230+AR232+AR234</f>
        <v>2322617</v>
      </c>
      <c r="AS236" s="161"/>
      <c r="AT236" s="161"/>
      <c r="AU236" s="161"/>
      <c r="AV236" s="162"/>
      <c r="AW236" s="71">
        <f>+AW216+AW214+AW212+AW218+AW220+AW222+AW224+AW226+AW228+AW230+AW232+AW234</f>
        <v>3050000</v>
      </c>
      <c r="AX236" s="72"/>
      <c r="AY236" s="72"/>
      <c r="AZ236" s="72"/>
      <c r="BA236" s="72"/>
      <c r="BB236" s="72"/>
      <c r="BC236" s="72"/>
      <c r="BD236" s="73"/>
      <c r="BE236" s="71">
        <f>+BE216+BE214+BE212+BE218+BE220+BE222+BE224+BE226+BE228+BE230+BE232+BE234</f>
        <v>690000</v>
      </c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3"/>
      <c r="BR236" s="160">
        <f>SUM(Y236:BQ236)</f>
        <v>9150234</v>
      </c>
      <c r="BS236" s="162"/>
      <c r="BU236" s="21"/>
    </row>
    <row r="237" spans="1:78" s="22" customFormat="1" ht="12.75" customHeight="1" x14ac:dyDescent="0.25">
      <c r="A237" s="260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  <c r="AA237" s="261"/>
      <c r="AB237" s="261"/>
      <c r="AC237" s="261"/>
      <c r="AD237" s="261"/>
      <c r="AE237" s="261"/>
      <c r="AF237" s="261"/>
      <c r="AG237" s="261"/>
      <c r="AH237" s="261"/>
      <c r="AI237" s="261"/>
      <c r="AJ237" s="261"/>
      <c r="AK237" s="261"/>
      <c r="AL237" s="261"/>
      <c r="AM237" s="261"/>
      <c r="AN237" s="261"/>
      <c r="AO237" s="261"/>
      <c r="AP237" s="261"/>
      <c r="AQ237" s="261"/>
      <c r="AR237" s="261"/>
      <c r="AS237" s="261"/>
      <c r="AT237" s="261"/>
      <c r="AU237" s="261"/>
      <c r="AV237" s="261"/>
      <c r="AW237" s="261"/>
      <c r="AX237" s="261"/>
      <c r="AY237" s="261"/>
      <c r="AZ237" s="261"/>
      <c r="BA237" s="261"/>
      <c r="BB237" s="261"/>
      <c r="BC237" s="261"/>
      <c r="BD237" s="261"/>
      <c r="BE237" s="261"/>
      <c r="BF237" s="261"/>
      <c r="BG237" s="261"/>
      <c r="BH237" s="261"/>
      <c r="BI237" s="261"/>
      <c r="BJ237" s="261"/>
      <c r="BK237" s="261"/>
      <c r="BL237" s="261"/>
      <c r="BM237" s="261"/>
      <c r="BN237" s="261"/>
      <c r="BO237" s="261"/>
      <c r="BP237" s="261"/>
      <c r="BQ237" s="261"/>
      <c r="BR237" s="261"/>
      <c r="BS237" s="262"/>
    </row>
    <row r="238" spans="1:78" ht="10.9" customHeight="1" x14ac:dyDescent="0.25">
      <c r="A238" s="166" t="s">
        <v>169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/>
      <c r="BC238" s="166"/>
      <c r="BD238" s="166"/>
      <c r="BE238" s="166"/>
      <c r="BF238" s="166"/>
      <c r="BG238" s="166"/>
      <c r="BH238" s="166"/>
      <c r="BI238" s="166"/>
      <c r="BJ238" s="166"/>
      <c r="BK238" s="166"/>
      <c r="BL238" s="166"/>
      <c r="BM238" s="166"/>
      <c r="BN238" s="166"/>
      <c r="BO238" s="166"/>
      <c r="BP238" s="166"/>
      <c r="BQ238" s="166"/>
      <c r="BR238" s="166"/>
      <c r="BS238" s="166"/>
      <c r="BU238" s="11"/>
      <c r="BV238" s="11"/>
      <c r="BW238" s="11"/>
      <c r="BX238" s="11"/>
      <c r="BY238" s="11"/>
      <c r="BZ238" s="11"/>
    </row>
    <row r="239" spans="1:78" ht="14.25" customHeight="1" x14ac:dyDescent="0.25">
      <c r="A239" s="128" t="s">
        <v>170</v>
      </c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72">
        <f>+BR239</f>
        <v>3500000</v>
      </c>
      <c r="N239" s="173"/>
      <c r="O239" s="173"/>
      <c r="P239" s="173"/>
      <c r="Q239" s="173"/>
      <c r="R239" s="173"/>
      <c r="S239" s="173"/>
      <c r="T239" s="173"/>
      <c r="U239" s="151" t="s">
        <v>83</v>
      </c>
      <c r="V239" s="151"/>
      <c r="W239" s="143">
        <v>0</v>
      </c>
      <c r="X239" s="144"/>
      <c r="Y239" s="144"/>
      <c r="Z239" s="144"/>
      <c r="AA239" s="144"/>
      <c r="AB239" s="144"/>
      <c r="AC239" s="144"/>
      <c r="AD239" s="145"/>
      <c r="AE239" s="143">
        <v>870000</v>
      </c>
      <c r="AF239" s="144"/>
      <c r="AG239" s="144"/>
      <c r="AH239" s="144"/>
      <c r="AI239" s="144"/>
      <c r="AJ239" s="145"/>
      <c r="AK239" s="143">
        <v>580000</v>
      </c>
      <c r="AL239" s="144"/>
      <c r="AM239" s="144"/>
      <c r="AN239" s="144"/>
      <c r="AO239" s="144"/>
      <c r="AP239" s="144"/>
      <c r="AQ239" s="145"/>
      <c r="AR239" s="143">
        <v>680000</v>
      </c>
      <c r="AS239" s="144"/>
      <c r="AT239" s="144"/>
      <c r="AU239" s="144"/>
      <c r="AV239" s="145"/>
      <c r="AW239" s="256">
        <v>550000</v>
      </c>
      <c r="AX239" s="259"/>
      <c r="AY239" s="259"/>
      <c r="AZ239" s="259"/>
      <c r="BA239" s="259"/>
      <c r="BB239" s="259"/>
      <c r="BC239" s="259"/>
      <c r="BD239" s="257"/>
      <c r="BE239" s="256">
        <v>820000</v>
      </c>
      <c r="BF239" s="259"/>
      <c r="BG239" s="259"/>
      <c r="BH239" s="259"/>
      <c r="BI239" s="259"/>
      <c r="BJ239" s="259"/>
      <c r="BK239" s="259"/>
      <c r="BL239" s="259"/>
      <c r="BM239" s="259"/>
      <c r="BN239" s="259"/>
      <c r="BO239" s="259"/>
      <c r="BP239" s="259"/>
      <c r="BQ239" s="257"/>
      <c r="BR239" s="239">
        <f>SUM(W239:BQ239)</f>
        <v>3500000</v>
      </c>
      <c r="BS239" s="241"/>
      <c r="BT239" s="11"/>
    </row>
    <row r="240" spans="1:78" x14ac:dyDescent="0.2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73"/>
      <c r="N240" s="173"/>
      <c r="O240" s="173"/>
      <c r="P240" s="173"/>
      <c r="Q240" s="173"/>
      <c r="R240" s="173"/>
      <c r="S240" s="173"/>
      <c r="T240" s="173"/>
      <c r="U240" s="152" t="s">
        <v>84</v>
      </c>
      <c r="V240" s="152"/>
      <c r="W240" s="154"/>
      <c r="X240" s="155"/>
      <c r="Y240" s="155"/>
      <c r="Z240" s="155"/>
      <c r="AA240" s="155"/>
      <c r="AB240" s="155"/>
      <c r="AC240" s="155"/>
      <c r="AD240" s="156"/>
      <c r="AE240" s="266"/>
      <c r="AF240" s="267"/>
      <c r="AG240" s="267"/>
      <c r="AH240" s="267"/>
      <c r="AI240" s="267"/>
      <c r="AJ240" s="268"/>
      <c r="AK240" s="266"/>
      <c r="AL240" s="267"/>
      <c r="AM240" s="267"/>
      <c r="AN240" s="267"/>
      <c r="AO240" s="267"/>
      <c r="AP240" s="267"/>
      <c r="AQ240" s="268"/>
      <c r="AR240" s="266"/>
      <c r="AS240" s="267"/>
      <c r="AT240" s="267"/>
      <c r="AU240" s="267"/>
      <c r="AV240" s="268"/>
      <c r="AW240" s="266"/>
      <c r="AX240" s="267"/>
      <c r="AY240" s="267"/>
      <c r="AZ240" s="267"/>
      <c r="BA240" s="267"/>
      <c r="BB240" s="267"/>
      <c r="BC240" s="267"/>
      <c r="BD240" s="267"/>
      <c r="BE240" s="263"/>
      <c r="BF240" s="263"/>
      <c r="BG240" s="263"/>
      <c r="BH240" s="263"/>
      <c r="BI240" s="263"/>
      <c r="BJ240" s="263"/>
      <c r="BK240" s="263"/>
      <c r="BL240" s="263"/>
      <c r="BM240" s="263"/>
      <c r="BN240" s="263"/>
      <c r="BO240" s="263"/>
      <c r="BP240" s="263"/>
      <c r="BQ240" s="264"/>
      <c r="BR240" s="265"/>
      <c r="BS240" s="264"/>
    </row>
    <row r="241" spans="1:83" s="18" customFormat="1" ht="10.9" customHeight="1" x14ac:dyDescent="0.3">
      <c r="A241" s="272" t="s">
        <v>171</v>
      </c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22">
        <f>+M239</f>
        <v>3500000</v>
      </c>
      <c r="N241" s="223"/>
      <c r="O241" s="223"/>
      <c r="P241" s="223"/>
      <c r="Q241" s="223"/>
      <c r="R241" s="223"/>
      <c r="S241" s="223"/>
      <c r="T241" s="223"/>
      <c r="U241" s="17"/>
      <c r="V241" s="17"/>
      <c r="W241" s="169">
        <f>+W239</f>
        <v>0</v>
      </c>
      <c r="X241" s="170"/>
      <c r="Y241" s="170"/>
      <c r="Z241" s="170"/>
      <c r="AA241" s="170"/>
      <c r="AB241" s="170"/>
      <c r="AC241" s="170"/>
      <c r="AD241" s="171"/>
      <c r="AE241" s="169">
        <f>+AE239</f>
        <v>870000</v>
      </c>
      <c r="AF241" s="170"/>
      <c r="AG241" s="170"/>
      <c r="AH241" s="170"/>
      <c r="AI241" s="170"/>
      <c r="AJ241" s="171"/>
      <c r="AK241" s="169">
        <f>+AK239</f>
        <v>580000</v>
      </c>
      <c r="AL241" s="170"/>
      <c r="AM241" s="170"/>
      <c r="AN241" s="170"/>
      <c r="AO241" s="170"/>
      <c r="AP241" s="170"/>
      <c r="AQ241" s="171"/>
      <c r="AR241" s="169">
        <f>+AR239</f>
        <v>680000</v>
      </c>
      <c r="AS241" s="170"/>
      <c r="AT241" s="170"/>
      <c r="AU241" s="170"/>
      <c r="AV241" s="171"/>
      <c r="AW241" s="269">
        <f>+AW239</f>
        <v>550000</v>
      </c>
      <c r="AX241" s="270"/>
      <c r="AY241" s="270"/>
      <c r="AZ241" s="270"/>
      <c r="BA241" s="270"/>
      <c r="BB241" s="270"/>
      <c r="BC241" s="270"/>
      <c r="BD241" s="271"/>
      <c r="BE241" s="269">
        <f>+BE239</f>
        <v>820000</v>
      </c>
      <c r="BF241" s="270"/>
      <c r="BG241" s="270"/>
      <c r="BH241" s="270"/>
      <c r="BI241" s="270"/>
      <c r="BJ241" s="270"/>
      <c r="BK241" s="270"/>
      <c r="BL241" s="270"/>
      <c r="BM241" s="270"/>
      <c r="BN241" s="270"/>
      <c r="BO241" s="270"/>
      <c r="BP241" s="270"/>
      <c r="BQ241" s="271"/>
      <c r="BR241" s="169">
        <f>SUM(W241:BQ241)</f>
        <v>3500000</v>
      </c>
      <c r="BS241" s="171"/>
      <c r="BU241" s="19"/>
      <c r="BW241" s="19"/>
      <c r="BY241" s="19"/>
      <c r="CA241" s="19"/>
      <c r="CC241" s="19"/>
      <c r="CE241" s="19"/>
    </row>
    <row r="242" spans="1:83" ht="10.9" customHeight="1" x14ac:dyDescent="0.25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/>
      <c r="BA242" s="168"/>
      <c r="BB242" s="168"/>
      <c r="BC242" s="168"/>
      <c r="BD242" s="168"/>
      <c r="BE242" s="168"/>
      <c r="BF242" s="168"/>
      <c r="BG242" s="168"/>
      <c r="BH242" s="168"/>
      <c r="BI242" s="168"/>
      <c r="BJ242" s="168"/>
      <c r="BK242" s="168"/>
      <c r="BL242" s="168"/>
      <c r="BM242" s="168"/>
      <c r="BN242" s="168"/>
      <c r="BO242" s="168"/>
      <c r="BP242" s="168"/>
      <c r="BQ242" s="168"/>
      <c r="BR242" s="168"/>
      <c r="BS242" s="168"/>
    </row>
    <row r="243" spans="1:83" ht="10.9" customHeight="1" x14ac:dyDescent="0.25">
      <c r="A243" s="150" t="s">
        <v>172</v>
      </c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230">
        <f>+M241+K236+K209+K190</f>
        <v>100000000</v>
      </c>
      <c r="N243" s="231"/>
      <c r="O243" s="231"/>
      <c r="P243" s="231"/>
      <c r="Q243" s="231"/>
      <c r="R243" s="231"/>
      <c r="S243" s="231"/>
      <c r="T243" s="232"/>
      <c r="U243" s="153" t="s">
        <v>83</v>
      </c>
      <c r="V243" s="153"/>
      <c r="W243" s="169">
        <f>+W241+Y236+Y209</f>
        <v>0</v>
      </c>
      <c r="X243" s="170"/>
      <c r="Y243" s="170"/>
      <c r="Z243" s="170"/>
      <c r="AA243" s="170"/>
      <c r="AB243" s="170"/>
      <c r="AC243" s="170"/>
      <c r="AD243" s="171"/>
      <c r="AE243" s="169">
        <f>+AE241+AE236+AE209+AE190</f>
        <v>10317895</v>
      </c>
      <c r="AF243" s="170"/>
      <c r="AG243" s="170"/>
      <c r="AH243" s="170"/>
      <c r="AI243" s="170"/>
      <c r="AJ243" s="171"/>
      <c r="AK243" s="169">
        <f>+AK241+AK236+AK209+AK190</f>
        <v>19258687</v>
      </c>
      <c r="AL243" s="170"/>
      <c r="AM243" s="170"/>
      <c r="AN243" s="170"/>
      <c r="AO243" s="170"/>
      <c r="AP243" s="170"/>
      <c r="AQ243" s="171"/>
      <c r="AR243" s="169">
        <f>+AR241+AR236+AR209+AR190</f>
        <v>20218187</v>
      </c>
      <c r="AS243" s="170"/>
      <c r="AT243" s="170"/>
      <c r="AU243" s="170"/>
      <c r="AV243" s="171"/>
      <c r="AW243" s="269">
        <f>+AW241+AW236+AW209+AW190</f>
        <v>29520248</v>
      </c>
      <c r="AX243" s="270"/>
      <c r="AY243" s="270"/>
      <c r="AZ243" s="270"/>
      <c r="BA243" s="270"/>
      <c r="BB243" s="270"/>
      <c r="BC243" s="270"/>
      <c r="BD243" s="271"/>
      <c r="BE243" s="269">
        <f>+BE241+BE236+BE209+BE190</f>
        <v>20684983</v>
      </c>
      <c r="BF243" s="270"/>
      <c r="BG243" s="270"/>
      <c r="BH243" s="270"/>
      <c r="BI243" s="270"/>
      <c r="BJ243" s="270"/>
      <c r="BK243" s="270"/>
      <c r="BL243" s="270"/>
      <c r="BM243" s="270"/>
      <c r="BN243" s="270"/>
      <c r="BO243" s="270"/>
      <c r="BP243" s="270"/>
      <c r="BQ243" s="271"/>
      <c r="BR243" s="169">
        <f>SUM(W243:BQ243)</f>
        <v>100000000</v>
      </c>
      <c r="BS243" s="171"/>
      <c r="BU243" s="11"/>
    </row>
    <row r="244" spans="1:83" ht="10.9" customHeight="1" x14ac:dyDescent="0.25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233"/>
      <c r="N244" s="234"/>
      <c r="O244" s="234"/>
      <c r="P244" s="234"/>
      <c r="Q244" s="234"/>
      <c r="R244" s="234"/>
      <c r="S244" s="234"/>
      <c r="T244" s="235"/>
      <c r="U244" s="146" t="s">
        <v>84</v>
      </c>
      <c r="V244" s="146"/>
      <c r="W244" s="154"/>
      <c r="X244" s="155"/>
      <c r="Y244" s="155"/>
      <c r="Z244" s="155"/>
      <c r="AA244" s="155"/>
      <c r="AB244" s="155"/>
      <c r="AC244" s="155"/>
      <c r="AD244" s="156"/>
      <c r="AE244" s="266"/>
      <c r="AF244" s="267"/>
      <c r="AG244" s="267"/>
      <c r="AH244" s="267"/>
      <c r="AI244" s="267"/>
      <c r="AJ244" s="268"/>
      <c r="AK244" s="266"/>
      <c r="AL244" s="267"/>
      <c r="AM244" s="267"/>
      <c r="AN244" s="267"/>
      <c r="AO244" s="267"/>
      <c r="AP244" s="267"/>
      <c r="AQ244" s="268"/>
      <c r="AR244" s="266"/>
      <c r="AS244" s="267"/>
      <c r="AT244" s="267"/>
      <c r="AU244" s="267"/>
      <c r="AV244" s="268"/>
      <c r="AW244" s="266"/>
      <c r="AX244" s="267"/>
      <c r="AY244" s="267"/>
      <c r="AZ244" s="267"/>
      <c r="BA244" s="267"/>
      <c r="BB244" s="267"/>
      <c r="BC244" s="267"/>
      <c r="BD244" s="267"/>
      <c r="BE244" s="263"/>
      <c r="BF244" s="263"/>
      <c r="BG244" s="263"/>
      <c r="BH244" s="263"/>
      <c r="BI244" s="263"/>
      <c r="BJ244" s="263"/>
      <c r="BK244" s="263"/>
      <c r="BL244" s="263"/>
      <c r="BM244" s="263"/>
      <c r="BN244" s="263"/>
      <c r="BO244" s="263"/>
      <c r="BP244" s="263"/>
      <c r="BQ244" s="264"/>
      <c r="BR244" s="265"/>
      <c r="BS244" s="264"/>
    </row>
    <row r="245" spans="1:83" ht="10.9" customHeight="1" x14ac:dyDescent="0.2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  <c r="BP245" s="136"/>
      <c r="BQ245" s="136"/>
      <c r="BR245" s="136"/>
      <c r="BS245" s="136"/>
    </row>
    <row r="246" spans="1:83" ht="13.4" customHeight="1" x14ac:dyDescent="0.25">
      <c r="A246" s="186" t="s">
        <v>173</v>
      </c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</row>
    <row r="247" spans="1:83" ht="10.9" customHeight="1" x14ac:dyDescent="0.25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  <c r="BO247" s="136"/>
      <c r="BP247" s="136"/>
      <c r="BQ247" s="136"/>
      <c r="BR247" s="136"/>
      <c r="BS247" s="136"/>
    </row>
    <row r="248" spans="1:83" ht="34.5" customHeight="1" x14ac:dyDescent="0.25">
      <c r="A248" s="98" t="s">
        <v>173</v>
      </c>
      <c r="B248" s="98"/>
      <c r="C248" s="98"/>
      <c r="D248" s="98"/>
      <c r="E248" s="98"/>
      <c r="F248" s="98"/>
      <c r="G248" s="98"/>
      <c r="H248" s="98"/>
      <c r="I248" s="98" t="s">
        <v>174</v>
      </c>
      <c r="J248" s="98"/>
      <c r="K248" s="98"/>
      <c r="L248" s="98"/>
      <c r="M248" s="98"/>
      <c r="N248" s="98"/>
      <c r="O248" s="98"/>
      <c r="P248" s="107" t="s">
        <v>175</v>
      </c>
      <c r="Q248" s="108"/>
      <c r="R248" s="108"/>
      <c r="S248" s="108"/>
      <c r="T248" s="108"/>
      <c r="U248" s="108"/>
      <c r="V248" s="108"/>
      <c r="W248" s="109"/>
      <c r="X248" s="107"/>
      <c r="Y248" s="108"/>
      <c r="Z248" s="109"/>
      <c r="AA248" s="107" t="s">
        <v>114</v>
      </c>
      <c r="AB248" s="108"/>
      <c r="AC248" s="108"/>
      <c r="AD248" s="108"/>
      <c r="AE248" s="109"/>
      <c r="AF248" s="97" t="s">
        <v>75</v>
      </c>
      <c r="AG248" s="98"/>
      <c r="AH248" s="98"/>
      <c r="AI248" s="98"/>
      <c r="AJ248" s="98"/>
      <c r="AK248" s="98"/>
      <c r="AL248" s="97" t="s">
        <v>76</v>
      </c>
      <c r="AM248" s="98"/>
      <c r="AN248" s="98"/>
      <c r="AO248" s="98"/>
      <c r="AP248" s="98"/>
      <c r="AQ248" s="98"/>
      <c r="AR248" s="98"/>
      <c r="AS248" s="97" t="s">
        <v>77</v>
      </c>
      <c r="AT248" s="98"/>
      <c r="AU248" s="98"/>
      <c r="AV248" s="98"/>
      <c r="AW248" s="98"/>
      <c r="AX248" s="98"/>
      <c r="AY248" s="98"/>
      <c r="AZ248" s="98"/>
      <c r="BA248" s="97" t="s">
        <v>78</v>
      </c>
      <c r="BB248" s="98"/>
      <c r="BC248" s="98"/>
      <c r="BD248" s="98"/>
      <c r="BE248" s="98"/>
      <c r="BF248" s="98"/>
      <c r="BG248" s="98"/>
      <c r="BH248" s="98"/>
      <c r="BI248" s="97" t="s">
        <v>79</v>
      </c>
      <c r="BJ248" s="98"/>
      <c r="BK248" s="98"/>
      <c r="BL248" s="98"/>
      <c r="BM248" s="98"/>
      <c r="BN248" s="98"/>
      <c r="BO248" s="107" t="s">
        <v>176</v>
      </c>
      <c r="BP248" s="108"/>
      <c r="BQ248" s="108"/>
      <c r="BR248" s="108"/>
      <c r="BS248" s="109"/>
      <c r="BU248" s="10"/>
    </row>
    <row r="249" spans="1:83" ht="10.9" customHeight="1" x14ac:dyDescent="0.25">
      <c r="A249" s="200" t="s">
        <v>177</v>
      </c>
      <c r="B249" s="200"/>
      <c r="C249" s="200"/>
      <c r="D249" s="200"/>
      <c r="E249" s="200"/>
      <c r="F249" s="200"/>
      <c r="G249" s="200"/>
      <c r="H249" s="200"/>
      <c r="I249" s="236">
        <f>+M243</f>
        <v>100000000</v>
      </c>
      <c r="J249" s="236"/>
      <c r="K249" s="236"/>
      <c r="L249" s="236"/>
      <c r="M249" s="236"/>
      <c r="N249" s="236"/>
      <c r="O249" s="236"/>
      <c r="P249" s="224">
        <v>0</v>
      </c>
      <c r="Q249" s="225"/>
      <c r="R249" s="225"/>
      <c r="S249" s="225"/>
      <c r="T249" s="225"/>
      <c r="U249" s="225"/>
      <c r="V249" s="225"/>
      <c r="W249" s="226"/>
      <c r="X249" s="147" t="s">
        <v>83</v>
      </c>
      <c r="Y249" s="148"/>
      <c r="Z249" s="149"/>
      <c r="AA249" s="167">
        <f>+W243</f>
        <v>0</v>
      </c>
      <c r="AB249" s="148"/>
      <c r="AC249" s="148"/>
      <c r="AD249" s="148"/>
      <c r="AE249" s="149"/>
      <c r="AF249" s="176">
        <f>+AE243</f>
        <v>10317895</v>
      </c>
      <c r="AG249" s="176"/>
      <c r="AH249" s="176"/>
      <c r="AI249" s="176"/>
      <c r="AJ249" s="176"/>
      <c r="AK249" s="176"/>
      <c r="AL249" s="176">
        <f>+AK243</f>
        <v>19258687</v>
      </c>
      <c r="AM249" s="176"/>
      <c r="AN249" s="176"/>
      <c r="AO249" s="176"/>
      <c r="AP249" s="176"/>
      <c r="AQ249" s="176"/>
      <c r="AR249" s="176"/>
      <c r="AS249" s="176">
        <f>+AR243</f>
        <v>20218187</v>
      </c>
      <c r="AT249" s="176"/>
      <c r="AU249" s="176"/>
      <c r="AV249" s="176"/>
      <c r="AW249" s="176"/>
      <c r="AX249" s="176"/>
      <c r="AY249" s="176"/>
      <c r="AZ249" s="176"/>
      <c r="BA249" s="176">
        <f>+AW243</f>
        <v>29520248</v>
      </c>
      <c r="BB249" s="176"/>
      <c r="BC249" s="176"/>
      <c r="BD249" s="176"/>
      <c r="BE249" s="176"/>
      <c r="BF249" s="176"/>
      <c r="BG249" s="176"/>
      <c r="BH249" s="176"/>
      <c r="BI249" s="176">
        <f>+BE243</f>
        <v>20684983</v>
      </c>
      <c r="BJ249" s="176"/>
      <c r="BK249" s="176"/>
      <c r="BL249" s="176"/>
      <c r="BM249" s="176"/>
      <c r="BN249" s="176"/>
      <c r="BO249" s="110">
        <f>SUM(AA249:BN249)</f>
        <v>100000000</v>
      </c>
      <c r="BP249" s="111"/>
      <c r="BQ249" s="111"/>
      <c r="BR249" s="111"/>
      <c r="BS249" s="112"/>
    </row>
    <row r="250" spans="1:83" ht="10.9" customHeight="1" x14ac:dyDescent="0.25">
      <c r="A250" s="200"/>
      <c r="B250" s="200"/>
      <c r="C250" s="200"/>
      <c r="D250" s="200"/>
      <c r="E250" s="200"/>
      <c r="F250" s="200"/>
      <c r="G250" s="200"/>
      <c r="H250" s="200"/>
      <c r="I250" s="236"/>
      <c r="J250" s="236"/>
      <c r="K250" s="236"/>
      <c r="L250" s="236"/>
      <c r="M250" s="236"/>
      <c r="N250" s="236"/>
      <c r="O250" s="236"/>
      <c r="P250" s="227"/>
      <c r="Q250" s="228"/>
      <c r="R250" s="228"/>
      <c r="S250" s="228"/>
      <c r="T250" s="228"/>
      <c r="U250" s="228"/>
      <c r="V250" s="228"/>
      <c r="W250" s="229"/>
      <c r="X250" s="147" t="s">
        <v>84</v>
      </c>
      <c r="Y250" s="148"/>
      <c r="Z250" s="149"/>
      <c r="AA250" s="147"/>
      <c r="AB250" s="148"/>
      <c r="AC250" s="148"/>
      <c r="AD250" s="148"/>
      <c r="AE250" s="149"/>
      <c r="AF250" s="174"/>
      <c r="AG250" s="175"/>
      <c r="AH250" s="175"/>
      <c r="AI250" s="175"/>
      <c r="AJ250" s="175"/>
      <c r="AK250" s="175"/>
      <c r="AL250" s="174"/>
      <c r="AM250" s="175"/>
      <c r="AN250" s="175"/>
      <c r="AO250" s="175"/>
      <c r="AP250" s="175"/>
      <c r="AQ250" s="175"/>
      <c r="AR250" s="175"/>
      <c r="AS250" s="252"/>
      <c r="AT250" s="175"/>
      <c r="AU250" s="175"/>
      <c r="AV250" s="175"/>
      <c r="AW250" s="175"/>
      <c r="AX250" s="175"/>
      <c r="AY250" s="175"/>
      <c r="AZ250" s="175"/>
      <c r="BA250" s="251"/>
      <c r="BB250" s="175"/>
      <c r="BC250" s="175"/>
      <c r="BD250" s="175"/>
      <c r="BE250" s="175"/>
      <c r="BF250" s="175"/>
      <c r="BG250" s="175"/>
      <c r="BH250" s="175"/>
      <c r="BI250" s="175"/>
      <c r="BJ250" s="175"/>
      <c r="BK250" s="175"/>
      <c r="BL250" s="175"/>
      <c r="BM250" s="175"/>
      <c r="BN250" s="175"/>
      <c r="BO250" s="175"/>
      <c r="BP250" s="175"/>
      <c r="BQ250" s="175"/>
      <c r="BR250" s="175"/>
      <c r="BS250" s="175"/>
    </row>
    <row r="251" spans="1:83" ht="10.9" customHeight="1" x14ac:dyDescent="0.25">
      <c r="A251" s="250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  <c r="BP251" s="136"/>
      <c r="BQ251" s="136"/>
      <c r="BR251" s="136"/>
      <c r="BS251" s="136"/>
    </row>
    <row r="252" spans="1:83" ht="10.9" customHeight="1" x14ac:dyDescent="0.25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  <c r="BM252" s="185"/>
      <c r="BN252" s="185"/>
      <c r="BO252" s="185"/>
      <c r="BP252" s="185"/>
      <c r="BQ252" s="185"/>
      <c r="BR252" s="185"/>
      <c r="BS252" s="185"/>
    </row>
    <row r="262" spans="25:25" x14ac:dyDescent="0.25">
      <c r="Y262" s="23"/>
    </row>
  </sheetData>
  <mergeCells count="1531">
    <mergeCell ref="W235:X235"/>
    <mergeCell ref="Y235:AD235"/>
    <mergeCell ref="AE235:AJ235"/>
    <mergeCell ref="AK235:AQ235"/>
    <mergeCell ref="AR235:AV235"/>
    <mergeCell ref="AW235:BD235"/>
    <mergeCell ref="BE235:BQ235"/>
    <mergeCell ref="BR235:BS235"/>
    <mergeCell ref="Y234:AD234"/>
    <mergeCell ref="A232:J233"/>
    <mergeCell ref="K232:T233"/>
    <mergeCell ref="U232:V233"/>
    <mergeCell ref="W232:X232"/>
    <mergeCell ref="Y232:AD232"/>
    <mergeCell ref="AE232:AJ232"/>
    <mergeCell ref="AK232:AQ232"/>
    <mergeCell ref="AR232:AV232"/>
    <mergeCell ref="AW232:BD232"/>
    <mergeCell ref="BR232:BS232"/>
    <mergeCell ref="W233:X233"/>
    <mergeCell ref="Y233:AD233"/>
    <mergeCell ref="AE233:AJ233"/>
    <mergeCell ref="AK233:AQ233"/>
    <mergeCell ref="AR233:AV233"/>
    <mergeCell ref="AW233:BD233"/>
    <mergeCell ref="BE233:BQ233"/>
    <mergeCell ref="BR233:BS233"/>
    <mergeCell ref="BE232:BQ232"/>
    <mergeCell ref="A190:J190"/>
    <mergeCell ref="K190:T190"/>
    <mergeCell ref="Y190:AD190"/>
    <mergeCell ref="AE190:AJ190"/>
    <mergeCell ref="AK190:AQ190"/>
    <mergeCell ref="AR190:AV190"/>
    <mergeCell ref="AW190:BD190"/>
    <mergeCell ref="BE190:BQ190"/>
    <mergeCell ref="BR190:BS190"/>
    <mergeCell ref="A228:J229"/>
    <mergeCell ref="K228:T229"/>
    <mergeCell ref="U228:V229"/>
    <mergeCell ref="W228:X228"/>
    <mergeCell ref="Y228:AD228"/>
    <mergeCell ref="AE228:AJ228"/>
    <mergeCell ref="AK228:AQ228"/>
    <mergeCell ref="AW230:BD230"/>
    <mergeCell ref="BE230:BQ230"/>
    <mergeCell ref="BR230:BS230"/>
    <mergeCell ref="A230:J231"/>
    <mergeCell ref="K230:T231"/>
    <mergeCell ref="U230:V231"/>
    <mergeCell ref="W230:X230"/>
    <mergeCell ref="Y230:AD230"/>
    <mergeCell ref="AE230:AJ230"/>
    <mergeCell ref="AK230:AQ230"/>
    <mergeCell ref="AR228:AV228"/>
    <mergeCell ref="AW228:BD228"/>
    <mergeCell ref="BE228:BQ228"/>
    <mergeCell ref="BR228:BS228"/>
    <mergeCell ref="W229:X229"/>
    <mergeCell ref="Y229:AD229"/>
    <mergeCell ref="AE229:AJ229"/>
    <mergeCell ref="AK229:AQ229"/>
    <mergeCell ref="AR229:AV229"/>
    <mergeCell ref="AW229:BD229"/>
    <mergeCell ref="W231:X231"/>
    <mergeCell ref="Y231:AD231"/>
    <mergeCell ref="AE231:AJ231"/>
    <mergeCell ref="AK231:AQ231"/>
    <mergeCell ref="AR231:AV231"/>
    <mergeCell ref="AW231:BD231"/>
    <mergeCell ref="BE231:BQ231"/>
    <mergeCell ref="BR231:BS231"/>
    <mergeCell ref="A207:J208"/>
    <mergeCell ref="K207:T208"/>
    <mergeCell ref="U207:V208"/>
    <mergeCell ref="W207:X207"/>
    <mergeCell ref="Y207:AD207"/>
    <mergeCell ref="AE207:AJ207"/>
    <mergeCell ref="AK207:AQ207"/>
    <mergeCell ref="AR207:AV207"/>
    <mergeCell ref="AW207:BD207"/>
    <mergeCell ref="BE207:BQ207"/>
    <mergeCell ref="BR207:BS207"/>
    <mergeCell ref="W208:X208"/>
    <mergeCell ref="Y208:AD208"/>
    <mergeCell ref="AE208:AJ208"/>
    <mergeCell ref="AK208:AQ208"/>
    <mergeCell ref="AR208:AV208"/>
    <mergeCell ref="AW208:BD208"/>
    <mergeCell ref="BE208:BQ208"/>
    <mergeCell ref="BR208:BS208"/>
    <mergeCell ref="AW222:BD222"/>
    <mergeCell ref="A186:J187"/>
    <mergeCell ref="K186:T187"/>
    <mergeCell ref="U186:V187"/>
    <mergeCell ref="W186:X186"/>
    <mergeCell ref="Y186:AD186"/>
    <mergeCell ref="AE186:AJ186"/>
    <mergeCell ref="AK186:AQ186"/>
    <mergeCell ref="AR186:AV186"/>
    <mergeCell ref="AW186:BD186"/>
    <mergeCell ref="BE186:BQ186"/>
    <mergeCell ref="BR186:BS186"/>
    <mergeCell ref="W187:X187"/>
    <mergeCell ref="Y187:AD187"/>
    <mergeCell ref="AE187:AJ187"/>
    <mergeCell ref="AK187:AQ187"/>
    <mergeCell ref="AR187:AV187"/>
    <mergeCell ref="AW187:BD187"/>
    <mergeCell ref="BE187:BQ187"/>
    <mergeCell ref="BR187:BS187"/>
    <mergeCell ref="A184:J185"/>
    <mergeCell ref="K184:T185"/>
    <mergeCell ref="U184:V185"/>
    <mergeCell ref="W184:X184"/>
    <mergeCell ref="Y184:AD184"/>
    <mergeCell ref="AE184:AJ184"/>
    <mergeCell ref="AK184:AQ184"/>
    <mergeCell ref="AR184:AV184"/>
    <mergeCell ref="AW184:BD184"/>
    <mergeCell ref="BE184:BQ184"/>
    <mergeCell ref="BR184:BS184"/>
    <mergeCell ref="W185:X185"/>
    <mergeCell ref="Y185:AD185"/>
    <mergeCell ref="AE185:AJ185"/>
    <mergeCell ref="AK185:AQ185"/>
    <mergeCell ref="AR185:AV185"/>
    <mergeCell ref="AW185:BD185"/>
    <mergeCell ref="BE185:BQ185"/>
    <mergeCell ref="BR185:BS185"/>
    <mergeCell ref="A182:J183"/>
    <mergeCell ref="K182:T183"/>
    <mergeCell ref="U182:V183"/>
    <mergeCell ref="W182:X182"/>
    <mergeCell ref="Y182:AD182"/>
    <mergeCell ref="AE182:AJ182"/>
    <mergeCell ref="AK182:AQ182"/>
    <mergeCell ref="AR182:AV182"/>
    <mergeCell ref="AW182:BD182"/>
    <mergeCell ref="BE182:BQ182"/>
    <mergeCell ref="BR182:BS182"/>
    <mergeCell ref="W183:X183"/>
    <mergeCell ref="Y183:AD183"/>
    <mergeCell ref="AE183:AJ183"/>
    <mergeCell ref="AK183:AQ183"/>
    <mergeCell ref="AR183:AV183"/>
    <mergeCell ref="AW183:BD183"/>
    <mergeCell ref="BE183:BQ183"/>
    <mergeCell ref="BR183:BS183"/>
    <mergeCell ref="A191:BS191"/>
    <mergeCell ref="A192:BS192"/>
    <mergeCell ref="A205:J206"/>
    <mergeCell ref="K205:T206"/>
    <mergeCell ref="U205:V206"/>
    <mergeCell ref="W205:X205"/>
    <mergeCell ref="Y205:AD205"/>
    <mergeCell ref="AE205:AJ205"/>
    <mergeCell ref="AK205:AQ205"/>
    <mergeCell ref="AR205:AV205"/>
    <mergeCell ref="AW205:BD205"/>
    <mergeCell ref="BE205:BQ205"/>
    <mergeCell ref="BR205:BS205"/>
    <mergeCell ref="W206:X206"/>
    <mergeCell ref="Y206:AD206"/>
    <mergeCell ref="AE206:AJ206"/>
    <mergeCell ref="AK206:AQ206"/>
    <mergeCell ref="AR206:AV206"/>
    <mergeCell ref="AW206:BD206"/>
    <mergeCell ref="BE206:BQ206"/>
    <mergeCell ref="BR206:BS206"/>
    <mergeCell ref="A197:J198"/>
    <mergeCell ref="K197:T198"/>
    <mergeCell ref="U197:V198"/>
    <mergeCell ref="A195:J196"/>
    <mergeCell ref="K195:T196"/>
    <mergeCell ref="Y196:AD196"/>
    <mergeCell ref="BR197:BS197"/>
    <mergeCell ref="W198:X198"/>
    <mergeCell ref="AE198:AJ198"/>
    <mergeCell ref="AK198:AQ198"/>
    <mergeCell ref="AR198:AV198"/>
    <mergeCell ref="A171:J172"/>
    <mergeCell ref="K171:T172"/>
    <mergeCell ref="U171:V172"/>
    <mergeCell ref="W171:X171"/>
    <mergeCell ref="Y171:AD171"/>
    <mergeCell ref="AE171:AJ171"/>
    <mergeCell ref="AK171:AQ171"/>
    <mergeCell ref="AR171:AV171"/>
    <mergeCell ref="AW171:BD171"/>
    <mergeCell ref="BE171:BQ171"/>
    <mergeCell ref="BR171:BS171"/>
    <mergeCell ref="W172:X172"/>
    <mergeCell ref="AE172:AJ172"/>
    <mergeCell ref="AK172:AQ172"/>
    <mergeCell ref="AR172:AV172"/>
    <mergeCell ref="AW172:BD172"/>
    <mergeCell ref="BE172:BQ172"/>
    <mergeCell ref="BR172:BS172"/>
    <mergeCell ref="A169:J170"/>
    <mergeCell ref="K169:T170"/>
    <mergeCell ref="U169:V170"/>
    <mergeCell ref="W169:X169"/>
    <mergeCell ref="Y169:AD169"/>
    <mergeCell ref="AE169:AJ169"/>
    <mergeCell ref="AK169:AQ169"/>
    <mergeCell ref="AR169:AV169"/>
    <mergeCell ref="AW169:BD169"/>
    <mergeCell ref="BE169:BQ169"/>
    <mergeCell ref="BR169:BS169"/>
    <mergeCell ref="W170:X170"/>
    <mergeCell ref="AE170:AJ170"/>
    <mergeCell ref="AK170:AQ170"/>
    <mergeCell ref="AR170:AV170"/>
    <mergeCell ref="AW170:BD170"/>
    <mergeCell ref="BE170:BQ170"/>
    <mergeCell ref="BR170:BS170"/>
    <mergeCell ref="A165:J166"/>
    <mergeCell ref="K165:T166"/>
    <mergeCell ref="U165:V166"/>
    <mergeCell ref="W165:X165"/>
    <mergeCell ref="Y165:AD165"/>
    <mergeCell ref="AE165:AJ165"/>
    <mergeCell ref="AK165:AQ165"/>
    <mergeCell ref="AR165:AV165"/>
    <mergeCell ref="AW165:BD165"/>
    <mergeCell ref="BE165:BQ165"/>
    <mergeCell ref="BR165:BS165"/>
    <mergeCell ref="W166:X166"/>
    <mergeCell ref="AE166:AJ166"/>
    <mergeCell ref="AK166:AQ166"/>
    <mergeCell ref="AR166:AV166"/>
    <mergeCell ref="AW166:BD166"/>
    <mergeCell ref="A167:J168"/>
    <mergeCell ref="K167:T168"/>
    <mergeCell ref="U167:V168"/>
    <mergeCell ref="W167:X167"/>
    <mergeCell ref="Y167:AD167"/>
    <mergeCell ref="AE167:AJ167"/>
    <mergeCell ref="AK167:AQ167"/>
    <mergeCell ref="AR167:AV167"/>
    <mergeCell ref="AW167:BD167"/>
    <mergeCell ref="BE167:BQ167"/>
    <mergeCell ref="BR167:BS167"/>
    <mergeCell ref="W168:X168"/>
    <mergeCell ref="AE168:AJ168"/>
    <mergeCell ref="AK168:AQ168"/>
    <mergeCell ref="AR168:AV168"/>
    <mergeCell ref="AW168:BD168"/>
    <mergeCell ref="A145:J146"/>
    <mergeCell ref="K145:T146"/>
    <mergeCell ref="U145:V146"/>
    <mergeCell ref="W145:X145"/>
    <mergeCell ref="Y145:AD145"/>
    <mergeCell ref="AE145:AJ145"/>
    <mergeCell ref="AK145:AQ145"/>
    <mergeCell ref="AR145:AV145"/>
    <mergeCell ref="AW145:BD145"/>
    <mergeCell ref="BE145:BQ145"/>
    <mergeCell ref="BR145:BS145"/>
    <mergeCell ref="W146:X146"/>
    <mergeCell ref="AE146:AJ146"/>
    <mergeCell ref="AK146:AQ146"/>
    <mergeCell ref="AR146:AV146"/>
    <mergeCell ref="AW146:BD146"/>
    <mergeCell ref="BE146:BQ146"/>
    <mergeCell ref="BR146:BS146"/>
    <mergeCell ref="A99:F99"/>
    <mergeCell ref="G99:BS99"/>
    <mergeCell ref="A100:BS100"/>
    <mergeCell ref="A97:P97"/>
    <mergeCell ref="AF97:AZ97"/>
    <mergeCell ref="A103:BS103"/>
    <mergeCell ref="A104:F104"/>
    <mergeCell ref="G104:BS104"/>
    <mergeCell ref="A105:BS105"/>
    <mergeCell ref="A106:P106"/>
    <mergeCell ref="Q106:AE106"/>
    <mergeCell ref="AF106:AZ106"/>
    <mergeCell ref="BA106:BS106"/>
    <mergeCell ref="AK125:AQ125"/>
    <mergeCell ref="AR125:AV125"/>
    <mergeCell ref="AW125:BD125"/>
    <mergeCell ref="BE125:BQ125"/>
    <mergeCell ref="BR125:BS125"/>
    <mergeCell ref="AK114:AQ114"/>
    <mergeCell ref="AR114:AV114"/>
    <mergeCell ref="AW114:BD114"/>
    <mergeCell ref="U114:V114"/>
    <mergeCell ref="W114:X114"/>
    <mergeCell ref="BE118:BQ118"/>
    <mergeCell ref="AW117:BD117"/>
    <mergeCell ref="Y117:AD117"/>
    <mergeCell ref="BR120:BS120"/>
    <mergeCell ref="A116:BS116"/>
    <mergeCell ref="AK120:AQ120"/>
    <mergeCell ref="AR120:AV120"/>
    <mergeCell ref="U143:V144"/>
    <mergeCell ref="W143:X143"/>
    <mergeCell ref="Y143:AD143"/>
    <mergeCell ref="AE143:AJ143"/>
    <mergeCell ref="A129:BS129"/>
    <mergeCell ref="A130:BS130"/>
    <mergeCell ref="Q96:AE96"/>
    <mergeCell ref="AF96:AZ96"/>
    <mergeCell ref="BA96:BS96"/>
    <mergeCell ref="Y119:AD119"/>
    <mergeCell ref="BR128:BS128"/>
    <mergeCell ref="W128:X128"/>
    <mergeCell ref="AE128:AJ128"/>
    <mergeCell ref="A101:P101"/>
    <mergeCell ref="Q101:AE101"/>
    <mergeCell ref="AF101:AZ101"/>
    <mergeCell ref="BA101:BS101"/>
    <mergeCell ref="W126:X126"/>
    <mergeCell ref="AE126:AJ126"/>
    <mergeCell ref="AK126:AQ126"/>
    <mergeCell ref="AR126:AV126"/>
    <mergeCell ref="AW126:BD126"/>
    <mergeCell ref="BE126:BQ126"/>
    <mergeCell ref="BR126:BS126"/>
    <mergeCell ref="A96:P96"/>
    <mergeCell ref="BR144:BS144"/>
    <mergeCell ref="A143:J144"/>
    <mergeCell ref="K143:T144"/>
    <mergeCell ref="BR121:BS121"/>
    <mergeCell ref="W122:X122"/>
    <mergeCell ref="AE122:AJ122"/>
    <mergeCell ref="A121:J122"/>
    <mergeCell ref="AT63:AY63"/>
    <mergeCell ref="AZ63:BF63"/>
    <mergeCell ref="A68:BS68"/>
    <mergeCell ref="A69:O69"/>
    <mergeCell ref="P69:AD69"/>
    <mergeCell ref="AE69:AH69"/>
    <mergeCell ref="AI69:AL69"/>
    <mergeCell ref="AN69:AS69"/>
    <mergeCell ref="AT69:AY69"/>
    <mergeCell ref="AZ69:BF69"/>
    <mergeCell ref="BG69:BL69"/>
    <mergeCell ref="BM69:BQ69"/>
    <mergeCell ref="BR69:BS69"/>
    <mergeCell ref="A74:BS74"/>
    <mergeCell ref="A75:F75"/>
    <mergeCell ref="G75:BS75"/>
    <mergeCell ref="A76:BS76"/>
    <mergeCell ref="AN73:AS73"/>
    <mergeCell ref="A70:O71"/>
    <mergeCell ref="P70:AD71"/>
    <mergeCell ref="A72:O73"/>
    <mergeCell ref="P72:AD73"/>
    <mergeCell ref="AT73:AY73"/>
    <mergeCell ref="AZ73:BF73"/>
    <mergeCell ref="BG73:BL73"/>
    <mergeCell ref="BM73:BQ73"/>
    <mergeCell ref="AT70:AY70"/>
    <mergeCell ref="AZ71:BF71"/>
    <mergeCell ref="BG71:BL71"/>
    <mergeCell ref="BM71:BQ71"/>
    <mergeCell ref="AT72:AY72"/>
    <mergeCell ref="AZ72:BF72"/>
    <mergeCell ref="BR72:BS72"/>
    <mergeCell ref="BG84:BL84"/>
    <mergeCell ref="AT85:AY85"/>
    <mergeCell ref="AZ85:BF85"/>
    <mergeCell ref="AR143:AV143"/>
    <mergeCell ref="BE143:BQ143"/>
    <mergeCell ref="BR143:BS143"/>
    <mergeCell ref="BR73:BS73"/>
    <mergeCell ref="W144:X144"/>
    <mergeCell ref="AE144:AJ144"/>
    <mergeCell ref="AK144:AQ144"/>
    <mergeCell ref="AR144:AV144"/>
    <mergeCell ref="AW144:BD144"/>
    <mergeCell ref="AK143:AQ143"/>
    <mergeCell ref="BR221:BS221"/>
    <mergeCell ref="BR220:BS220"/>
    <mergeCell ref="Y149:AD149"/>
    <mergeCell ref="AW133:BD133"/>
    <mergeCell ref="AW134:BD134"/>
    <mergeCell ref="AR135:AV135"/>
    <mergeCell ref="AN85:AS85"/>
    <mergeCell ref="AE133:AJ133"/>
    <mergeCell ref="AK119:AQ119"/>
    <mergeCell ref="AR133:AV133"/>
    <mergeCell ref="AF108:AZ108"/>
    <mergeCell ref="AE121:AJ121"/>
    <mergeCell ref="AK121:AQ121"/>
    <mergeCell ref="W197:X197"/>
    <mergeCell ref="W195:X195"/>
    <mergeCell ref="Y195:AD195"/>
    <mergeCell ref="A93:BS93"/>
    <mergeCell ref="A98:BS98"/>
    <mergeCell ref="BR64:BS64"/>
    <mergeCell ref="K121:T122"/>
    <mergeCell ref="U121:V122"/>
    <mergeCell ref="AW203:BD203"/>
    <mergeCell ref="P82:AD83"/>
    <mergeCell ref="BR85:BS85"/>
    <mergeCell ref="AI70:AL71"/>
    <mergeCell ref="AN72:AS72"/>
    <mergeCell ref="BR70:BS70"/>
    <mergeCell ref="AN71:AS71"/>
    <mergeCell ref="AT71:AY71"/>
    <mergeCell ref="BG85:BL85"/>
    <mergeCell ref="BR82:BS82"/>
    <mergeCell ref="AZ83:BF83"/>
    <mergeCell ref="AE84:AH85"/>
    <mergeCell ref="A84:O85"/>
    <mergeCell ref="P84:AD85"/>
    <mergeCell ref="A203:J204"/>
    <mergeCell ref="AN70:AS70"/>
    <mergeCell ref="AE72:AH73"/>
    <mergeCell ref="AI72:AL73"/>
    <mergeCell ref="BR65:BS65"/>
    <mergeCell ref="BG65:BL65"/>
    <mergeCell ref="AZ70:BF70"/>
    <mergeCell ref="AE70:AH71"/>
    <mergeCell ref="AE64:AH65"/>
    <mergeCell ref="BR71:BS71"/>
    <mergeCell ref="BG70:BL70"/>
    <mergeCell ref="BR202:BS202"/>
    <mergeCell ref="AZ64:BF64"/>
    <mergeCell ref="BG72:BL72"/>
    <mergeCell ref="BM72:BQ72"/>
    <mergeCell ref="BG64:BL64"/>
    <mergeCell ref="BM64:BQ64"/>
    <mergeCell ref="BM65:BQ65"/>
    <mergeCell ref="BR201:BS201"/>
    <mergeCell ref="BE202:BQ202"/>
    <mergeCell ref="BE200:BQ200"/>
    <mergeCell ref="BR200:BS200"/>
    <mergeCell ref="K203:T204"/>
    <mergeCell ref="U203:V204"/>
    <mergeCell ref="W203:X203"/>
    <mergeCell ref="Y203:AD203"/>
    <mergeCell ref="AE203:AJ203"/>
    <mergeCell ref="W204:X204"/>
    <mergeCell ref="Y204:AD204"/>
    <mergeCell ref="AE204:AJ204"/>
    <mergeCell ref="BE203:BQ203"/>
    <mergeCell ref="BR203:BS203"/>
    <mergeCell ref="AI84:AL85"/>
    <mergeCell ref="AN84:AS84"/>
    <mergeCell ref="AT84:AY84"/>
    <mergeCell ref="BM84:BQ84"/>
    <mergeCell ref="BR84:BS84"/>
    <mergeCell ref="BM85:BQ85"/>
    <mergeCell ref="AZ84:BF84"/>
    <mergeCell ref="BE201:BQ201"/>
    <mergeCell ref="BE204:BQ204"/>
    <mergeCell ref="BR204:BS204"/>
    <mergeCell ref="BM70:BQ70"/>
    <mergeCell ref="G94:BS94"/>
    <mergeCell ref="A95:BS95"/>
    <mergeCell ref="AR201:AV201"/>
    <mergeCell ref="Y133:AD133"/>
    <mergeCell ref="AZ65:BF65"/>
    <mergeCell ref="AI64:AL65"/>
    <mergeCell ref="AW119:BD119"/>
    <mergeCell ref="AN64:AS64"/>
    <mergeCell ref="AT64:AY64"/>
    <mergeCell ref="BE120:BQ120"/>
    <mergeCell ref="AN83:AS83"/>
    <mergeCell ref="AT83:AY83"/>
    <mergeCell ref="BA97:BS97"/>
    <mergeCell ref="A115:BS115"/>
    <mergeCell ref="A66:BS66"/>
    <mergeCell ref="A67:F67"/>
    <mergeCell ref="G67:BS67"/>
    <mergeCell ref="A77:O77"/>
    <mergeCell ref="P77:AD77"/>
    <mergeCell ref="AE77:AH77"/>
    <mergeCell ref="AI77:AL77"/>
    <mergeCell ref="AF92:AZ92"/>
    <mergeCell ref="BA92:BS92"/>
    <mergeCell ref="BA109:BS109"/>
    <mergeCell ref="Q97:AE97"/>
    <mergeCell ref="BR114:BS114"/>
    <mergeCell ref="BE114:BQ114"/>
    <mergeCell ref="A113:BS113"/>
    <mergeCell ref="A114:J114"/>
    <mergeCell ref="K114:T114"/>
    <mergeCell ref="Y114:AD114"/>
    <mergeCell ref="A109:P109"/>
    <mergeCell ref="Q109:AE109"/>
    <mergeCell ref="AF109:AZ109"/>
    <mergeCell ref="A112:BS112"/>
    <mergeCell ref="AE114:AJ114"/>
    <mergeCell ref="A241:L241"/>
    <mergeCell ref="BR224:BS224"/>
    <mergeCell ref="Y225:AD225"/>
    <mergeCell ref="AE225:AJ225"/>
    <mergeCell ref="AK225:AQ225"/>
    <mergeCell ref="AR225:AV225"/>
    <mergeCell ref="AW225:BD225"/>
    <mergeCell ref="BE225:BQ225"/>
    <mergeCell ref="BR225:BS225"/>
    <mergeCell ref="AR230:AV230"/>
    <mergeCell ref="AR199:AV199"/>
    <mergeCell ref="AW199:BD199"/>
    <mergeCell ref="BE199:BQ199"/>
    <mergeCell ref="BR199:BS199"/>
    <mergeCell ref="W200:X200"/>
    <mergeCell ref="Y200:AD200"/>
    <mergeCell ref="AE200:AJ200"/>
    <mergeCell ref="AK200:AQ200"/>
    <mergeCell ref="AR200:AV200"/>
    <mergeCell ref="AW200:BD200"/>
    <mergeCell ref="A201:J202"/>
    <mergeCell ref="K201:T202"/>
    <mergeCell ref="U201:V202"/>
    <mergeCell ref="W201:X201"/>
    <mergeCell ref="Y201:AD201"/>
    <mergeCell ref="AE201:AJ201"/>
    <mergeCell ref="W202:X202"/>
    <mergeCell ref="Y202:AD202"/>
    <mergeCell ref="AE202:AJ202"/>
    <mergeCell ref="AK202:AQ202"/>
    <mergeCell ref="AR202:AV202"/>
    <mergeCell ref="AW202:BD202"/>
    <mergeCell ref="AW198:BD198"/>
    <mergeCell ref="BE198:BQ198"/>
    <mergeCell ref="BR198:BS198"/>
    <mergeCell ref="AE197:AJ197"/>
    <mergeCell ref="AK197:AQ197"/>
    <mergeCell ref="A188:J189"/>
    <mergeCell ref="K188:T189"/>
    <mergeCell ref="U188:V189"/>
    <mergeCell ref="W188:X188"/>
    <mergeCell ref="AE188:AJ188"/>
    <mergeCell ref="AK188:AQ188"/>
    <mergeCell ref="W189:X189"/>
    <mergeCell ref="AE189:AJ189"/>
    <mergeCell ref="AK189:AQ189"/>
    <mergeCell ref="AR189:AV189"/>
    <mergeCell ref="AW189:BD189"/>
    <mergeCell ref="Y188:AD188"/>
    <mergeCell ref="BE189:BQ189"/>
    <mergeCell ref="BR189:BS189"/>
    <mergeCell ref="Y189:AD189"/>
    <mergeCell ref="AR188:AV188"/>
    <mergeCell ref="AW188:BD188"/>
    <mergeCell ref="BE188:BQ188"/>
    <mergeCell ref="BR188:BS188"/>
    <mergeCell ref="AR194:AV194"/>
    <mergeCell ref="AW194:BD194"/>
    <mergeCell ref="BE194:BQ194"/>
    <mergeCell ref="BR194:BS194"/>
    <mergeCell ref="AW195:BD195"/>
    <mergeCell ref="K193:T194"/>
    <mergeCell ref="U193:V194"/>
    <mergeCell ref="W193:X193"/>
    <mergeCell ref="A180:J181"/>
    <mergeCell ref="K180:T181"/>
    <mergeCell ref="U180:V181"/>
    <mergeCell ref="W180:X180"/>
    <mergeCell ref="AE180:AJ180"/>
    <mergeCell ref="AK179:AQ179"/>
    <mergeCell ref="W181:X181"/>
    <mergeCell ref="AE181:AJ181"/>
    <mergeCell ref="AK181:AQ181"/>
    <mergeCell ref="Y179:AD179"/>
    <mergeCell ref="AR179:AV179"/>
    <mergeCell ref="AW179:BD179"/>
    <mergeCell ref="AR178:AV178"/>
    <mergeCell ref="AW178:BD178"/>
    <mergeCell ref="AK180:AQ180"/>
    <mergeCell ref="AR180:AV180"/>
    <mergeCell ref="AW180:BD180"/>
    <mergeCell ref="Y180:AD180"/>
    <mergeCell ref="AR181:AV181"/>
    <mergeCell ref="W179:X179"/>
    <mergeCell ref="AE179:AJ179"/>
    <mergeCell ref="Y178:AD178"/>
    <mergeCell ref="AK220:AQ220"/>
    <mergeCell ref="AR220:AV220"/>
    <mergeCell ref="AW220:BD220"/>
    <mergeCell ref="BE220:BQ220"/>
    <mergeCell ref="AR219:AV219"/>
    <mergeCell ref="BE179:BQ179"/>
    <mergeCell ref="AW219:BD219"/>
    <mergeCell ref="BE219:BQ219"/>
    <mergeCell ref="BR179:BS179"/>
    <mergeCell ref="AW221:BD221"/>
    <mergeCell ref="BE221:BQ221"/>
    <mergeCell ref="K178:T179"/>
    <mergeCell ref="U178:V179"/>
    <mergeCell ref="W178:X178"/>
    <mergeCell ref="AE178:AJ178"/>
    <mergeCell ref="AK178:AQ178"/>
    <mergeCell ref="AW181:BD181"/>
    <mergeCell ref="BR178:BS178"/>
    <mergeCell ref="BE180:BQ180"/>
    <mergeCell ref="BR180:BS180"/>
    <mergeCell ref="BE181:BQ181"/>
    <mergeCell ref="BR181:BS181"/>
    <mergeCell ref="AK204:AQ204"/>
    <mergeCell ref="AR204:AV204"/>
    <mergeCell ref="AW204:BD204"/>
    <mergeCell ref="AK203:AQ203"/>
    <mergeCell ref="AR203:AV203"/>
    <mergeCell ref="AW201:BD201"/>
    <mergeCell ref="AK201:AQ201"/>
    <mergeCell ref="W219:X219"/>
    <mergeCell ref="Y219:AD219"/>
    <mergeCell ref="AE219:AJ219"/>
    <mergeCell ref="A220:J221"/>
    <mergeCell ref="W220:X220"/>
    <mergeCell ref="Y220:AD220"/>
    <mergeCell ref="AE220:AJ220"/>
    <mergeCell ref="A224:J225"/>
    <mergeCell ref="K224:T225"/>
    <mergeCell ref="U224:V225"/>
    <mergeCell ref="W224:X224"/>
    <mergeCell ref="Y224:AD224"/>
    <mergeCell ref="AE224:AJ224"/>
    <mergeCell ref="AK224:AQ224"/>
    <mergeCell ref="A236:J236"/>
    <mergeCell ref="K236:T236"/>
    <mergeCell ref="Y236:AD236"/>
    <mergeCell ref="AE236:AJ236"/>
    <mergeCell ref="AK236:AQ236"/>
    <mergeCell ref="AR224:AV224"/>
    <mergeCell ref="A234:J235"/>
    <mergeCell ref="K234:T235"/>
    <mergeCell ref="U234:V235"/>
    <mergeCell ref="W234:X234"/>
    <mergeCell ref="W225:X225"/>
    <mergeCell ref="W221:X221"/>
    <mergeCell ref="Y221:AD221"/>
    <mergeCell ref="AE221:AJ221"/>
    <mergeCell ref="AK221:AQ221"/>
    <mergeCell ref="AR221:AV221"/>
    <mergeCell ref="AK222:AQ222"/>
    <mergeCell ref="A226:J227"/>
    <mergeCell ref="K226:T227"/>
    <mergeCell ref="U226:V227"/>
    <mergeCell ref="W226:X226"/>
    <mergeCell ref="Y223:AD223"/>
    <mergeCell ref="AE223:AJ223"/>
    <mergeCell ref="AK223:AQ223"/>
    <mergeCell ref="AR223:AV223"/>
    <mergeCell ref="AW223:BD223"/>
    <mergeCell ref="BE223:BQ223"/>
    <mergeCell ref="BR239:BS239"/>
    <mergeCell ref="AE240:AJ240"/>
    <mergeCell ref="AK240:AQ240"/>
    <mergeCell ref="AR240:AV240"/>
    <mergeCell ref="AW240:BD240"/>
    <mergeCell ref="BE240:BQ240"/>
    <mergeCell ref="BR240:BS240"/>
    <mergeCell ref="AE239:AJ239"/>
    <mergeCell ref="AK239:AQ239"/>
    <mergeCell ref="AR239:AV239"/>
    <mergeCell ref="AW239:BD239"/>
    <mergeCell ref="BE239:BQ239"/>
    <mergeCell ref="AR236:AV236"/>
    <mergeCell ref="AW236:BD236"/>
    <mergeCell ref="BE236:BQ236"/>
    <mergeCell ref="AW224:BD224"/>
    <mergeCell ref="BE224:BQ224"/>
    <mergeCell ref="Y226:AD226"/>
    <mergeCell ref="BE229:BQ229"/>
    <mergeCell ref="BR229:BS229"/>
    <mergeCell ref="AE234:AJ234"/>
    <mergeCell ref="AK234:AQ234"/>
    <mergeCell ref="AR234:AV234"/>
    <mergeCell ref="AW234:BD234"/>
    <mergeCell ref="BE234:BQ234"/>
    <mergeCell ref="BR234:BS234"/>
    <mergeCell ref="A237:BS237"/>
    <mergeCell ref="BR236:BS236"/>
    <mergeCell ref="K220:T221"/>
    <mergeCell ref="U220:V221"/>
    <mergeCell ref="BR223:BS223"/>
    <mergeCell ref="BR219:BS219"/>
    <mergeCell ref="BE226:BQ226"/>
    <mergeCell ref="BR226:BS226"/>
    <mergeCell ref="AR226:AV226"/>
    <mergeCell ref="AW226:BD226"/>
    <mergeCell ref="BE244:BQ244"/>
    <mergeCell ref="BR244:BS244"/>
    <mergeCell ref="A248:H248"/>
    <mergeCell ref="X248:Z248"/>
    <mergeCell ref="W244:AD244"/>
    <mergeCell ref="AE244:AJ244"/>
    <mergeCell ref="AK244:AQ244"/>
    <mergeCell ref="AR244:AV244"/>
    <mergeCell ref="AW244:BD244"/>
    <mergeCell ref="AF248:AK248"/>
    <mergeCell ref="AR241:AV241"/>
    <mergeCell ref="AW241:BD241"/>
    <mergeCell ref="BE241:BQ241"/>
    <mergeCell ref="BR241:BS241"/>
    <mergeCell ref="AE243:AJ243"/>
    <mergeCell ref="AK243:AQ243"/>
    <mergeCell ref="AR243:AV243"/>
    <mergeCell ref="AW243:BD243"/>
    <mergeCell ref="BE243:BQ243"/>
    <mergeCell ref="BR243:BS243"/>
    <mergeCell ref="AE241:AJ241"/>
    <mergeCell ref="AK241:AQ241"/>
    <mergeCell ref="W176:X176"/>
    <mergeCell ref="AE176:AJ176"/>
    <mergeCell ref="BR217:BS217"/>
    <mergeCell ref="AW216:BD216"/>
    <mergeCell ref="BE216:BQ216"/>
    <mergeCell ref="BR216:BS216"/>
    <mergeCell ref="AW217:BD217"/>
    <mergeCell ref="BE217:BQ217"/>
    <mergeCell ref="W199:X199"/>
    <mergeCell ref="BE178:BQ178"/>
    <mergeCell ref="BR218:BS218"/>
    <mergeCell ref="A222:J223"/>
    <mergeCell ref="K222:T223"/>
    <mergeCell ref="U222:V223"/>
    <mergeCell ref="W222:X222"/>
    <mergeCell ref="Y222:AD222"/>
    <mergeCell ref="AE222:AJ222"/>
    <mergeCell ref="A218:J219"/>
    <mergeCell ref="K218:T219"/>
    <mergeCell ref="U218:V219"/>
    <mergeCell ref="AW176:BD176"/>
    <mergeCell ref="AR218:AV218"/>
    <mergeCell ref="AR222:AV222"/>
    <mergeCell ref="BE222:BQ222"/>
    <mergeCell ref="BE176:BQ176"/>
    <mergeCell ref="AW218:BD218"/>
    <mergeCell ref="BE218:BQ218"/>
    <mergeCell ref="AR214:AV214"/>
    <mergeCell ref="AW214:BD214"/>
    <mergeCell ref="BE214:BQ214"/>
    <mergeCell ref="BR222:BS222"/>
    <mergeCell ref="W223:X223"/>
    <mergeCell ref="K149:T150"/>
    <mergeCell ref="U149:V150"/>
    <mergeCell ref="W149:X149"/>
    <mergeCell ref="AE149:AJ149"/>
    <mergeCell ref="W150:X150"/>
    <mergeCell ref="AE150:AJ150"/>
    <mergeCell ref="Y150:AD150"/>
    <mergeCell ref="BR127:BS127"/>
    <mergeCell ref="AR128:AV128"/>
    <mergeCell ref="AW128:BD128"/>
    <mergeCell ref="AK150:AQ150"/>
    <mergeCell ref="Y128:AD128"/>
    <mergeCell ref="Y127:AD127"/>
    <mergeCell ref="AW150:BD150"/>
    <mergeCell ref="BE150:BQ150"/>
    <mergeCell ref="BR150:BS150"/>
    <mergeCell ref="AR149:AV149"/>
    <mergeCell ref="BE144:BQ144"/>
    <mergeCell ref="AW143:BD143"/>
    <mergeCell ref="AK149:AQ149"/>
    <mergeCell ref="AW149:BD149"/>
    <mergeCell ref="AE136:AJ136"/>
    <mergeCell ref="AK136:AQ136"/>
    <mergeCell ref="AR136:AV136"/>
    <mergeCell ref="AW136:BD136"/>
    <mergeCell ref="BE136:BQ136"/>
    <mergeCell ref="BR136:BS136"/>
    <mergeCell ref="BE142:BQ142"/>
    <mergeCell ref="BR142:BS142"/>
    <mergeCell ref="K137:T138"/>
    <mergeCell ref="U137:V138"/>
    <mergeCell ref="W137:X137"/>
    <mergeCell ref="A177:BS177"/>
    <mergeCell ref="A176:J176"/>
    <mergeCell ref="K176:T176"/>
    <mergeCell ref="U176:V176"/>
    <mergeCell ref="BR149:BS149"/>
    <mergeCell ref="AR150:AV150"/>
    <mergeCell ref="A149:J150"/>
    <mergeCell ref="A127:J128"/>
    <mergeCell ref="Y176:AD176"/>
    <mergeCell ref="W215:X215"/>
    <mergeCell ref="Y215:AD215"/>
    <mergeCell ref="AE215:AJ215"/>
    <mergeCell ref="AK215:AQ215"/>
    <mergeCell ref="AR215:AV215"/>
    <mergeCell ref="AW215:BD215"/>
    <mergeCell ref="A216:J217"/>
    <mergeCell ref="K216:T217"/>
    <mergeCell ref="U216:V217"/>
    <mergeCell ref="W216:X216"/>
    <mergeCell ref="Y216:AD216"/>
    <mergeCell ref="AE216:AJ216"/>
    <mergeCell ref="W217:X217"/>
    <mergeCell ref="Y217:AD217"/>
    <mergeCell ref="AE217:AJ217"/>
    <mergeCell ref="BE127:BQ127"/>
    <mergeCell ref="AW127:BD127"/>
    <mergeCell ref="BE133:BQ133"/>
    <mergeCell ref="A174:BS174"/>
    <mergeCell ref="A178:J179"/>
    <mergeCell ref="BE195:BQ195"/>
    <mergeCell ref="BE134:BQ134"/>
    <mergeCell ref="BR193:BS193"/>
    <mergeCell ref="W218:X218"/>
    <mergeCell ref="Y218:AD218"/>
    <mergeCell ref="AE218:AJ218"/>
    <mergeCell ref="AK128:AQ128"/>
    <mergeCell ref="BE119:BQ119"/>
    <mergeCell ref="A119:J120"/>
    <mergeCell ref="K119:T120"/>
    <mergeCell ref="U119:V120"/>
    <mergeCell ref="W119:X119"/>
    <mergeCell ref="W120:X120"/>
    <mergeCell ref="AE120:AJ120"/>
    <mergeCell ref="AE119:AJ119"/>
    <mergeCell ref="K212:T213"/>
    <mergeCell ref="U212:V213"/>
    <mergeCell ref="W212:X212"/>
    <mergeCell ref="Y212:AD212"/>
    <mergeCell ref="AE212:AJ212"/>
    <mergeCell ref="AK212:AQ212"/>
    <mergeCell ref="AW212:BD212"/>
    <mergeCell ref="BE212:BQ212"/>
    <mergeCell ref="W213:X213"/>
    <mergeCell ref="Y213:AD213"/>
    <mergeCell ref="AE213:AJ213"/>
    <mergeCell ref="AK213:AQ213"/>
    <mergeCell ref="AR213:AV213"/>
    <mergeCell ref="AW213:BD213"/>
    <mergeCell ref="BE213:BQ213"/>
    <mergeCell ref="BE128:BQ128"/>
    <mergeCell ref="K127:T128"/>
    <mergeCell ref="U127:V128"/>
    <mergeCell ref="W127:X127"/>
    <mergeCell ref="AR127:AV127"/>
    <mergeCell ref="A252:BS252"/>
    <mergeCell ref="BO250:BS250"/>
    <mergeCell ref="A249:H250"/>
    <mergeCell ref="AL249:AR249"/>
    <mergeCell ref="A251:BS251"/>
    <mergeCell ref="BA250:BH250"/>
    <mergeCell ref="BA249:BH249"/>
    <mergeCell ref="AS250:AZ250"/>
    <mergeCell ref="A117:J118"/>
    <mergeCell ref="K117:T118"/>
    <mergeCell ref="U117:V118"/>
    <mergeCell ref="W117:X117"/>
    <mergeCell ref="AE117:AJ117"/>
    <mergeCell ref="AK117:AQ117"/>
    <mergeCell ref="Y118:AD118"/>
    <mergeCell ref="BR117:BS117"/>
    <mergeCell ref="W118:X118"/>
    <mergeCell ref="AE118:AJ118"/>
    <mergeCell ref="AK118:AQ118"/>
    <mergeCell ref="AR118:AV118"/>
    <mergeCell ref="AW118:BD118"/>
    <mergeCell ref="BR118:BS118"/>
    <mergeCell ref="AR117:AV117"/>
    <mergeCell ref="W134:X134"/>
    <mergeCell ref="BR119:BS119"/>
    <mergeCell ref="AR119:AV119"/>
    <mergeCell ref="AE127:AJ127"/>
    <mergeCell ref="AK127:AQ127"/>
    <mergeCell ref="AR197:AV197"/>
    <mergeCell ref="AW197:BD197"/>
    <mergeCell ref="BE197:BQ197"/>
    <mergeCell ref="AR209:AV209"/>
    <mergeCell ref="W227:X227"/>
    <mergeCell ref="A175:BS175"/>
    <mergeCell ref="AL248:AR248"/>
    <mergeCell ref="A245:BS245"/>
    <mergeCell ref="A246:BS246"/>
    <mergeCell ref="A247:BS247"/>
    <mergeCell ref="BA248:BH248"/>
    <mergeCell ref="BI248:BN248"/>
    <mergeCell ref="BR196:BS196"/>
    <mergeCell ref="M241:T241"/>
    <mergeCell ref="BI250:BN250"/>
    <mergeCell ref="BI249:BN249"/>
    <mergeCell ref="AF249:AK249"/>
    <mergeCell ref="AL250:AR250"/>
    <mergeCell ref="AS248:AZ248"/>
    <mergeCell ref="I248:O248"/>
    <mergeCell ref="P249:W250"/>
    <mergeCell ref="M243:T244"/>
    <mergeCell ref="I249:O250"/>
    <mergeCell ref="BR195:BS195"/>
    <mergeCell ref="BR212:BS212"/>
    <mergeCell ref="A214:J215"/>
    <mergeCell ref="K214:T215"/>
    <mergeCell ref="U214:V215"/>
    <mergeCell ref="W214:X214"/>
    <mergeCell ref="Y214:AD214"/>
    <mergeCell ref="AE214:AJ214"/>
    <mergeCell ref="BR214:BS214"/>
    <mergeCell ref="AE196:AJ196"/>
    <mergeCell ref="AR193:AV193"/>
    <mergeCell ref="AW193:BD193"/>
    <mergeCell ref="BE193:BQ193"/>
    <mergeCell ref="AW120:BD120"/>
    <mergeCell ref="A94:F94"/>
    <mergeCell ref="AZ82:BF82"/>
    <mergeCell ref="BG58:BL58"/>
    <mergeCell ref="BM58:BQ58"/>
    <mergeCell ref="A58:O59"/>
    <mergeCell ref="AE58:AH59"/>
    <mergeCell ref="AI58:AL59"/>
    <mergeCell ref="P64:AD65"/>
    <mergeCell ref="AN65:AS65"/>
    <mergeCell ref="AT65:AY65"/>
    <mergeCell ref="A64:O65"/>
    <mergeCell ref="BG83:BL83"/>
    <mergeCell ref="BM83:BQ83"/>
    <mergeCell ref="BR83:BS83"/>
    <mergeCell ref="BG82:BL82"/>
    <mergeCell ref="BM82:BQ82"/>
    <mergeCell ref="A82:O83"/>
    <mergeCell ref="AE82:AH83"/>
    <mergeCell ref="AI82:AL83"/>
    <mergeCell ref="AN82:AS82"/>
    <mergeCell ref="AT82:AY82"/>
    <mergeCell ref="A60:BS60"/>
    <mergeCell ref="A61:F61"/>
    <mergeCell ref="G61:BS61"/>
    <mergeCell ref="A62:BS62"/>
    <mergeCell ref="A63:O63"/>
    <mergeCell ref="BG63:BL63"/>
    <mergeCell ref="BM63:BQ63"/>
    <mergeCell ref="BR63:BS63"/>
    <mergeCell ref="P63:AD63"/>
    <mergeCell ref="AE63:AH63"/>
    <mergeCell ref="A54:BS54"/>
    <mergeCell ref="A55:F55"/>
    <mergeCell ref="G55:BS55"/>
    <mergeCell ref="A49:BS49"/>
    <mergeCell ref="A50:BS50"/>
    <mergeCell ref="A51:BS51"/>
    <mergeCell ref="A53:BS53"/>
    <mergeCell ref="A52:BS52"/>
    <mergeCell ref="A56:BS56"/>
    <mergeCell ref="AI63:AL63"/>
    <mergeCell ref="AN63:AS63"/>
    <mergeCell ref="A57:O57"/>
    <mergeCell ref="AE57:AH57"/>
    <mergeCell ref="AI57:AL57"/>
    <mergeCell ref="AN57:AS57"/>
    <mergeCell ref="AT57:AY57"/>
    <mergeCell ref="AZ57:BF57"/>
    <mergeCell ref="BG57:BL57"/>
    <mergeCell ref="BM57:BQ57"/>
    <mergeCell ref="BR57:BS57"/>
    <mergeCell ref="BR58:BS58"/>
    <mergeCell ref="AN59:AS59"/>
    <mergeCell ref="AT59:AY59"/>
    <mergeCell ref="AZ59:BF59"/>
    <mergeCell ref="BG59:BL59"/>
    <mergeCell ref="BM59:BQ59"/>
    <mergeCell ref="BR59:BS59"/>
    <mergeCell ref="AN58:AS58"/>
    <mergeCell ref="AT58:AY58"/>
    <mergeCell ref="AZ58:BF58"/>
    <mergeCell ref="P57:AD57"/>
    <mergeCell ref="P58:AD59"/>
    <mergeCell ref="A44:AE44"/>
    <mergeCell ref="AF44:AK44"/>
    <mergeCell ref="AM44:BN44"/>
    <mergeCell ref="BO44:BS44"/>
    <mergeCell ref="A45:AE45"/>
    <mergeCell ref="AF45:AK45"/>
    <mergeCell ref="AM45:BN45"/>
    <mergeCell ref="BO45:BS45"/>
    <mergeCell ref="A46:AE46"/>
    <mergeCell ref="AF46:AK46"/>
    <mergeCell ref="AM46:BN46"/>
    <mergeCell ref="BO46:BS46"/>
    <mergeCell ref="A47:AE47"/>
    <mergeCell ref="AF47:AK47"/>
    <mergeCell ref="AM47:BN47"/>
    <mergeCell ref="BO47:BS47"/>
    <mergeCell ref="A48:AE48"/>
    <mergeCell ref="AF48:AK48"/>
    <mergeCell ref="AM48:BN48"/>
    <mergeCell ref="BO48:BS48"/>
    <mergeCell ref="A39:AE39"/>
    <mergeCell ref="AF39:AK39"/>
    <mergeCell ref="AM39:BN39"/>
    <mergeCell ref="BO39:BS39"/>
    <mergeCell ref="A40:AE40"/>
    <mergeCell ref="AF40:AK40"/>
    <mergeCell ref="AM40:BN40"/>
    <mergeCell ref="BO40:BS40"/>
    <mergeCell ref="A41:AE41"/>
    <mergeCell ref="AF41:AK41"/>
    <mergeCell ref="AM41:BN41"/>
    <mergeCell ref="BO41:BS41"/>
    <mergeCell ref="A42:AE42"/>
    <mergeCell ref="AF42:AK42"/>
    <mergeCell ref="AM42:BN42"/>
    <mergeCell ref="BO42:BS42"/>
    <mergeCell ref="A43:AE43"/>
    <mergeCell ref="AF43:AK43"/>
    <mergeCell ref="AM43:BN43"/>
    <mergeCell ref="BO43:BS43"/>
    <mergeCell ref="A34:AE34"/>
    <mergeCell ref="AF34:AK34"/>
    <mergeCell ref="AM34:BN34"/>
    <mergeCell ref="BO34:BS34"/>
    <mergeCell ref="A35:AE35"/>
    <mergeCell ref="AF35:AK35"/>
    <mergeCell ref="AM35:BN35"/>
    <mergeCell ref="BO35:BS35"/>
    <mergeCell ref="A36:AE36"/>
    <mergeCell ref="AF36:AK36"/>
    <mergeCell ref="AM36:BN36"/>
    <mergeCell ref="BO36:BS36"/>
    <mergeCell ref="A37:AE37"/>
    <mergeCell ref="AF37:AK37"/>
    <mergeCell ref="AM37:BN37"/>
    <mergeCell ref="BO37:BS37"/>
    <mergeCell ref="A38:AE38"/>
    <mergeCell ref="AF38:AK38"/>
    <mergeCell ref="AM38:BN38"/>
    <mergeCell ref="BO38:BS38"/>
    <mergeCell ref="A29:AE29"/>
    <mergeCell ref="AF29:AK29"/>
    <mergeCell ref="AM29:BN29"/>
    <mergeCell ref="BO29:BS29"/>
    <mergeCell ref="A30:AE30"/>
    <mergeCell ref="AF30:AK30"/>
    <mergeCell ref="AM30:BN30"/>
    <mergeCell ref="BO30:BS30"/>
    <mergeCell ref="A31:AE31"/>
    <mergeCell ref="AF31:AK31"/>
    <mergeCell ref="AM31:BN31"/>
    <mergeCell ref="BO31:BS31"/>
    <mergeCell ref="A32:AE32"/>
    <mergeCell ref="AF32:AK32"/>
    <mergeCell ref="AM32:BN32"/>
    <mergeCell ref="BO32:BS32"/>
    <mergeCell ref="A33:AE33"/>
    <mergeCell ref="AF33:AK33"/>
    <mergeCell ref="AM33:BN33"/>
    <mergeCell ref="BO33:BS33"/>
    <mergeCell ref="A22:I22"/>
    <mergeCell ref="J22:BS22"/>
    <mergeCell ref="A23:I23"/>
    <mergeCell ref="J23:BS23"/>
    <mergeCell ref="A24:I24"/>
    <mergeCell ref="J24:BS24"/>
    <mergeCell ref="A25:I25"/>
    <mergeCell ref="J25:BS25"/>
    <mergeCell ref="A26:I26"/>
    <mergeCell ref="J26:AK26"/>
    <mergeCell ref="AM26:BA26"/>
    <mergeCell ref="BB26:BS26"/>
    <mergeCell ref="A27:AE27"/>
    <mergeCell ref="AF27:AK27"/>
    <mergeCell ref="AM27:BN27"/>
    <mergeCell ref="BO27:BS27"/>
    <mergeCell ref="A28:AE28"/>
    <mergeCell ref="AF28:AK28"/>
    <mergeCell ref="AM28:BN28"/>
    <mergeCell ref="BO28:BS28"/>
    <mergeCell ref="A14:K14"/>
    <mergeCell ref="L14:U14"/>
    <mergeCell ref="W14:AP14"/>
    <mergeCell ref="AQ14:AV14"/>
    <mergeCell ref="AX14:BP14"/>
    <mergeCell ref="BQ14:BS14"/>
    <mergeCell ref="A15:BS15"/>
    <mergeCell ref="A16:BS16"/>
    <mergeCell ref="A17:BS17"/>
    <mergeCell ref="A18:I18"/>
    <mergeCell ref="J18:BS18"/>
    <mergeCell ref="A19:I19"/>
    <mergeCell ref="J19:BS19"/>
    <mergeCell ref="A20:I20"/>
    <mergeCell ref="J20:BS20"/>
    <mergeCell ref="A21:I21"/>
    <mergeCell ref="J21:AK21"/>
    <mergeCell ref="AM21:BA21"/>
    <mergeCell ref="BB21:BS21"/>
    <mergeCell ref="AX10:BP10"/>
    <mergeCell ref="BQ10:BS10"/>
    <mergeCell ref="A11:K11"/>
    <mergeCell ref="L11:U11"/>
    <mergeCell ref="W11:AP11"/>
    <mergeCell ref="AQ11:AV11"/>
    <mergeCell ref="AX11:BP11"/>
    <mergeCell ref="BQ11:BS11"/>
    <mergeCell ref="A12:K12"/>
    <mergeCell ref="L12:U12"/>
    <mergeCell ref="W12:AP12"/>
    <mergeCell ref="AQ12:AV12"/>
    <mergeCell ref="AX12:BP12"/>
    <mergeCell ref="BQ12:BS12"/>
    <mergeCell ref="A13:K13"/>
    <mergeCell ref="L13:U13"/>
    <mergeCell ref="W13:AP13"/>
    <mergeCell ref="AQ13:AV13"/>
    <mergeCell ref="AX13:BP13"/>
    <mergeCell ref="BQ13:BS13"/>
    <mergeCell ref="AR121:AV121"/>
    <mergeCell ref="AW121:BD121"/>
    <mergeCell ref="BE121:BQ121"/>
    <mergeCell ref="A92:P92"/>
    <mergeCell ref="Q92:AE92"/>
    <mergeCell ref="A88:BS88"/>
    <mergeCell ref="A1:H4"/>
    <mergeCell ref="I1:AT1"/>
    <mergeCell ref="AU1:BS1"/>
    <mergeCell ref="I2:AT2"/>
    <mergeCell ref="AU2:BS2"/>
    <mergeCell ref="I3:AT3"/>
    <mergeCell ref="AU3:BS3"/>
    <mergeCell ref="I4:AT4"/>
    <mergeCell ref="AU4:BS4"/>
    <mergeCell ref="A5:BS5"/>
    <mergeCell ref="A6:BS6"/>
    <mergeCell ref="A7:BS7"/>
    <mergeCell ref="A8:Q8"/>
    <mergeCell ref="R8:U8"/>
    <mergeCell ref="W8:AQ8"/>
    <mergeCell ref="AR8:AW8"/>
    <mergeCell ref="AX8:BP8"/>
    <mergeCell ref="BQ8:BS8"/>
    <mergeCell ref="A9:AE9"/>
    <mergeCell ref="AF9:AK9"/>
    <mergeCell ref="AM9:BN9"/>
    <mergeCell ref="BO9:BS9"/>
    <mergeCell ref="A10:K10"/>
    <mergeCell ref="L10:U10"/>
    <mergeCell ref="W10:AP10"/>
    <mergeCell ref="AQ10:AV10"/>
    <mergeCell ref="BE159:BQ159"/>
    <mergeCell ref="BR159:BS159"/>
    <mergeCell ref="AW160:BD160"/>
    <mergeCell ref="BE160:BQ160"/>
    <mergeCell ref="AR161:AV161"/>
    <mergeCell ref="A193:J194"/>
    <mergeCell ref="BE117:BQ117"/>
    <mergeCell ref="U133:V134"/>
    <mergeCell ref="W133:X133"/>
    <mergeCell ref="BR134:BS134"/>
    <mergeCell ref="AE134:AJ134"/>
    <mergeCell ref="AK134:AQ134"/>
    <mergeCell ref="AR134:AV134"/>
    <mergeCell ref="AK133:AQ133"/>
    <mergeCell ref="BR133:BS133"/>
    <mergeCell ref="A86:BS86"/>
    <mergeCell ref="A87:BS87"/>
    <mergeCell ref="AK122:AQ122"/>
    <mergeCell ref="AR122:AV122"/>
    <mergeCell ref="AW122:BD122"/>
    <mergeCell ref="BE122:BQ122"/>
    <mergeCell ref="BR122:BS122"/>
    <mergeCell ref="G89:BS89"/>
    <mergeCell ref="A133:J134"/>
    <mergeCell ref="A89:F89"/>
    <mergeCell ref="A90:BS90"/>
    <mergeCell ref="A91:P91"/>
    <mergeCell ref="Q91:AE91"/>
    <mergeCell ref="AF91:AZ91"/>
    <mergeCell ref="BA91:BS91"/>
    <mergeCell ref="W121:X121"/>
    <mergeCell ref="Y121:AD121"/>
    <mergeCell ref="W131:X131"/>
    <mergeCell ref="AE131:AJ131"/>
    <mergeCell ref="AK131:AQ131"/>
    <mergeCell ref="Y131:AD131"/>
    <mergeCell ref="BE131:BQ131"/>
    <mergeCell ref="K133:T134"/>
    <mergeCell ref="A173:BS173"/>
    <mergeCell ref="AR176:AV176"/>
    <mergeCell ref="U195:V196"/>
    <mergeCell ref="AE195:AJ195"/>
    <mergeCell ref="W196:X196"/>
    <mergeCell ref="BE163:BQ163"/>
    <mergeCell ref="BR163:BS163"/>
    <mergeCell ref="AK195:AQ195"/>
    <mergeCell ref="AR195:AV195"/>
    <mergeCell ref="AK151:AQ151"/>
    <mergeCell ref="AR151:AV151"/>
    <mergeCell ref="AK176:AQ176"/>
    <mergeCell ref="AK193:AQ193"/>
    <mergeCell ref="AR152:AV152"/>
    <mergeCell ref="AK153:AQ153"/>
    <mergeCell ref="AR153:AV153"/>
    <mergeCell ref="AK163:AQ163"/>
    <mergeCell ref="AR196:AV196"/>
    <mergeCell ref="AW196:BD196"/>
    <mergeCell ref="BE196:BQ196"/>
    <mergeCell ref="Y181:AD181"/>
    <mergeCell ref="AE161:AJ161"/>
    <mergeCell ref="AK161:AQ161"/>
    <mergeCell ref="AW161:BD161"/>
    <mergeCell ref="BE161:BQ161"/>
    <mergeCell ref="AW159:BD159"/>
    <mergeCell ref="X249:Z249"/>
    <mergeCell ref="AA248:AE248"/>
    <mergeCell ref="AA249:AE249"/>
    <mergeCell ref="A242:BS242"/>
    <mergeCell ref="W241:AD241"/>
    <mergeCell ref="W243:AD243"/>
    <mergeCell ref="M239:T240"/>
    <mergeCell ref="BR162:BS162"/>
    <mergeCell ref="BR161:BS161"/>
    <mergeCell ref="W162:X162"/>
    <mergeCell ref="AE162:AJ162"/>
    <mergeCell ref="AF250:AK250"/>
    <mergeCell ref="AE209:AJ209"/>
    <mergeCell ref="AK209:AQ209"/>
    <mergeCell ref="AW209:BD209"/>
    <mergeCell ref="AS249:AZ249"/>
    <mergeCell ref="AW163:BD163"/>
    <mergeCell ref="AE163:AJ163"/>
    <mergeCell ref="A161:J162"/>
    <mergeCell ref="K161:T162"/>
    <mergeCell ref="U161:V162"/>
    <mergeCell ref="W161:X161"/>
    <mergeCell ref="AK162:AQ162"/>
    <mergeCell ref="AR162:AV162"/>
    <mergeCell ref="AW162:BD162"/>
    <mergeCell ref="BE162:BQ162"/>
    <mergeCell ref="AR163:AV163"/>
    <mergeCell ref="W164:X164"/>
    <mergeCell ref="AE164:AJ164"/>
    <mergeCell ref="AK164:AQ164"/>
    <mergeCell ref="AR164:AV164"/>
    <mergeCell ref="A163:J164"/>
    <mergeCell ref="AE199:AJ199"/>
    <mergeCell ref="AK199:AQ199"/>
    <mergeCell ref="AK196:AQ196"/>
    <mergeCell ref="Y199:AD199"/>
    <mergeCell ref="A244:L244"/>
    <mergeCell ref="W239:AD239"/>
    <mergeCell ref="P248:W248"/>
    <mergeCell ref="U244:V244"/>
    <mergeCell ref="X250:Z250"/>
    <mergeCell ref="A243:L243"/>
    <mergeCell ref="U239:V239"/>
    <mergeCell ref="U240:V240"/>
    <mergeCell ref="AR212:AV212"/>
    <mergeCell ref="U243:V243"/>
    <mergeCell ref="AK216:AQ216"/>
    <mergeCell ref="AR216:AV216"/>
    <mergeCell ref="AK217:AQ217"/>
    <mergeCell ref="AR217:AV217"/>
    <mergeCell ref="AK218:AQ218"/>
    <mergeCell ref="AE226:AJ226"/>
    <mergeCell ref="AK214:AQ214"/>
    <mergeCell ref="W240:AD240"/>
    <mergeCell ref="A210:BS210"/>
    <mergeCell ref="A211:BS211"/>
    <mergeCell ref="A212:J213"/>
    <mergeCell ref="K209:T209"/>
    <mergeCell ref="BR209:BS209"/>
    <mergeCell ref="A209:J209"/>
    <mergeCell ref="A238:BS238"/>
    <mergeCell ref="A239:L240"/>
    <mergeCell ref="AA250:AE250"/>
    <mergeCell ref="Y209:AD209"/>
    <mergeCell ref="W194:X194"/>
    <mergeCell ref="Y194:AD194"/>
    <mergeCell ref="AE194:AJ194"/>
    <mergeCell ref="AK194:AQ194"/>
    <mergeCell ref="Y161:AD161"/>
    <mergeCell ref="BR164:BS164"/>
    <mergeCell ref="BR160:BS160"/>
    <mergeCell ref="K163:T164"/>
    <mergeCell ref="U163:V164"/>
    <mergeCell ref="W163:X163"/>
    <mergeCell ref="Y163:AD163"/>
    <mergeCell ref="AW164:BD164"/>
    <mergeCell ref="BE164:BQ164"/>
    <mergeCell ref="AW135:BD135"/>
    <mergeCell ref="A141:J142"/>
    <mergeCell ref="K141:T142"/>
    <mergeCell ref="U141:V142"/>
    <mergeCell ref="W141:X141"/>
    <mergeCell ref="Y141:AD141"/>
    <mergeCell ref="AE141:AJ141"/>
    <mergeCell ref="AK141:AQ141"/>
    <mergeCell ref="AR141:AV141"/>
    <mergeCell ref="AW141:BD141"/>
    <mergeCell ref="BE141:BQ141"/>
    <mergeCell ref="BR141:BS141"/>
    <mergeCell ref="W142:X142"/>
    <mergeCell ref="AE142:AJ142"/>
    <mergeCell ref="AK142:AQ142"/>
    <mergeCell ref="AR142:AV142"/>
    <mergeCell ref="AW142:BD142"/>
    <mergeCell ref="A135:J136"/>
    <mergeCell ref="K135:T136"/>
    <mergeCell ref="BA108:BS108"/>
    <mergeCell ref="A102:P102"/>
    <mergeCell ref="Q102:AE102"/>
    <mergeCell ref="AF102:AZ102"/>
    <mergeCell ref="BA102:BS102"/>
    <mergeCell ref="A110:P110"/>
    <mergeCell ref="Q110:AE110"/>
    <mergeCell ref="AF110:AZ110"/>
    <mergeCell ref="BA110:BS110"/>
    <mergeCell ref="A107:P107"/>
    <mergeCell ref="Q107:AE107"/>
    <mergeCell ref="AF107:AZ107"/>
    <mergeCell ref="BA107:BS107"/>
    <mergeCell ref="A108:P108"/>
    <mergeCell ref="Q108:AE108"/>
    <mergeCell ref="Y193:AD193"/>
    <mergeCell ref="AE193:AJ193"/>
    <mergeCell ref="U135:V136"/>
    <mergeCell ref="W135:X135"/>
    <mergeCell ref="AE135:AJ135"/>
    <mergeCell ref="AK135:AQ135"/>
    <mergeCell ref="Y135:AD135"/>
    <mergeCell ref="BR131:BS131"/>
    <mergeCell ref="W132:X132"/>
    <mergeCell ref="AE132:AJ132"/>
    <mergeCell ref="AK132:AQ132"/>
    <mergeCell ref="AR132:AV132"/>
    <mergeCell ref="AW132:BD132"/>
    <mergeCell ref="BE132:BQ132"/>
    <mergeCell ref="BR132:BS132"/>
    <mergeCell ref="AR131:AV131"/>
    <mergeCell ref="AW131:BD131"/>
    <mergeCell ref="AR137:AV137"/>
    <mergeCell ref="AW137:BD137"/>
    <mergeCell ref="BE137:BQ137"/>
    <mergeCell ref="BR137:BS137"/>
    <mergeCell ref="AK138:AQ138"/>
    <mergeCell ref="AR138:AV138"/>
    <mergeCell ref="AW138:BD138"/>
    <mergeCell ref="BE138:BQ138"/>
    <mergeCell ref="BR138:BS138"/>
    <mergeCell ref="A111:BS111"/>
    <mergeCell ref="U139:V140"/>
    <mergeCell ref="W139:X139"/>
    <mergeCell ref="Y139:AD139"/>
    <mergeCell ref="AE139:AJ139"/>
    <mergeCell ref="AK139:AQ139"/>
    <mergeCell ref="AR139:AV139"/>
    <mergeCell ref="AW139:BD139"/>
    <mergeCell ref="BE139:BQ139"/>
    <mergeCell ref="BR139:BS139"/>
    <mergeCell ref="W140:X140"/>
    <mergeCell ref="AE140:AJ140"/>
    <mergeCell ref="AK140:AQ140"/>
    <mergeCell ref="AR140:AV140"/>
    <mergeCell ref="AW140:BD140"/>
    <mergeCell ref="BE140:BQ140"/>
    <mergeCell ref="BR140:BS140"/>
    <mergeCell ref="BE135:BQ135"/>
    <mergeCell ref="BR135:BS135"/>
    <mergeCell ref="W136:X136"/>
    <mergeCell ref="A131:J132"/>
    <mergeCell ref="K131:T132"/>
    <mergeCell ref="U131:V132"/>
    <mergeCell ref="A153:J154"/>
    <mergeCell ref="K153:T154"/>
    <mergeCell ref="U153:V154"/>
    <mergeCell ref="W153:X153"/>
    <mergeCell ref="Y153:AD153"/>
    <mergeCell ref="AE153:AJ153"/>
    <mergeCell ref="W154:X154"/>
    <mergeCell ref="AE154:AJ154"/>
    <mergeCell ref="AW152:BD152"/>
    <mergeCell ref="AW151:BD151"/>
    <mergeCell ref="BE151:BQ151"/>
    <mergeCell ref="W151:X151"/>
    <mergeCell ref="Y151:AD151"/>
    <mergeCell ref="BE149:BQ149"/>
    <mergeCell ref="BE152:BQ152"/>
    <mergeCell ref="Y137:AD137"/>
    <mergeCell ref="A151:J152"/>
    <mergeCell ref="A147:BS147"/>
    <mergeCell ref="A148:BS148"/>
    <mergeCell ref="K151:T152"/>
    <mergeCell ref="U151:V152"/>
    <mergeCell ref="BR151:BS151"/>
    <mergeCell ref="W152:X152"/>
    <mergeCell ref="AE152:AJ152"/>
    <mergeCell ref="AK152:AQ152"/>
    <mergeCell ref="AE137:AJ137"/>
    <mergeCell ref="W138:X138"/>
    <mergeCell ref="AE138:AJ138"/>
    <mergeCell ref="A139:J140"/>
    <mergeCell ref="K139:T140"/>
    <mergeCell ref="AK137:AQ137"/>
    <mergeCell ref="A137:J138"/>
    <mergeCell ref="K155:T156"/>
    <mergeCell ref="U155:V156"/>
    <mergeCell ref="W155:X155"/>
    <mergeCell ref="Y155:AD155"/>
    <mergeCell ref="AE155:AJ155"/>
    <mergeCell ref="W156:X156"/>
    <mergeCell ref="AE156:AJ156"/>
    <mergeCell ref="AW153:BD153"/>
    <mergeCell ref="BE153:BQ153"/>
    <mergeCell ref="BR153:BS153"/>
    <mergeCell ref="AK154:AQ154"/>
    <mergeCell ref="AR154:AV154"/>
    <mergeCell ref="AW154:BD154"/>
    <mergeCell ref="BE154:BQ154"/>
    <mergeCell ref="BR154:BS154"/>
    <mergeCell ref="BR152:BS152"/>
    <mergeCell ref="AE151:AJ151"/>
    <mergeCell ref="AE159:AJ159"/>
    <mergeCell ref="AK159:AQ159"/>
    <mergeCell ref="AR159:AV159"/>
    <mergeCell ref="BO248:BS248"/>
    <mergeCell ref="BO249:BS249"/>
    <mergeCell ref="BE227:BQ227"/>
    <mergeCell ref="BR227:BS227"/>
    <mergeCell ref="BE166:BQ166"/>
    <mergeCell ref="BR166:BS166"/>
    <mergeCell ref="BR213:BS213"/>
    <mergeCell ref="BE215:BQ215"/>
    <mergeCell ref="BR215:BS215"/>
    <mergeCell ref="BR176:BS176"/>
    <mergeCell ref="BR157:BS157"/>
    <mergeCell ref="A157:J158"/>
    <mergeCell ref="K157:T158"/>
    <mergeCell ref="U157:V158"/>
    <mergeCell ref="W157:X157"/>
    <mergeCell ref="Y157:AD157"/>
    <mergeCell ref="AK158:AQ158"/>
    <mergeCell ref="AR158:AV158"/>
    <mergeCell ref="AW158:BD158"/>
    <mergeCell ref="BE158:BQ158"/>
    <mergeCell ref="W160:X160"/>
    <mergeCell ref="AE160:AJ160"/>
    <mergeCell ref="AK160:AQ160"/>
    <mergeCell ref="AR160:AV160"/>
    <mergeCell ref="Y197:AD197"/>
    <mergeCell ref="Y198:AD198"/>
    <mergeCell ref="A199:J200"/>
    <mergeCell ref="K199:T200"/>
    <mergeCell ref="U199:V200"/>
    <mergeCell ref="AN77:AS77"/>
    <mergeCell ref="AT77:AY77"/>
    <mergeCell ref="AZ77:BF77"/>
    <mergeCell ref="BG77:BL77"/>
    <mergeCell ref="BM77:BQ77"/>
    <mergeCell ref="BR77:BS77"/>
    <mergeCell ref="A123:J124"/>
    <mergeCell ref="K123:T124"/>
    <mergeCell ref="U123:V124"/>
    <mergeCell ref="W123:X123"/>
    <mergeCell ref="Y123:AD123"/>
    <mergeCell ref="AE123:AJ123"/>
    <mergeCell ref="W124:X124"/>
    <mergeCell ref="AE124:AJ124"/>
    <mergeCell ref="AE157:AJ157"/>
    <mergeCell ref="W158:X158"/>
    <mergeCell ref="AE158:AJ158"/>
    <mergeCell ref="AK157:AQ157"/>
    <mergeCell ref="AR157:AV157"/>
    <mergeCell ref="AW157:BD157"/>
    <mergeCell ref="BE157:BQ157"/>
    <mergeCell ref="BE156:BQ156"/>
    <mergeCell ref="BR156:BS156"/>
    <mergeCell ref="AK155:AQ155"/>
    <mergeCell ref="AR155:AV155"/>
    <mergeCell ref="AW155:BD155"/>
    <mergeCell ref="BE155:BQ155"/>
    <mergeCell ref="BR155:BS155"/>
    <mergeCell ref="AK156:AQ156"/>
    <mergeCell ref="AR156:AV156"/>
    <mergeCell ref="AW156:BD156"/>
    <mergeCell ref="A155:J156"/>
    <mergeCell ref="AZ80:BF80"/>
    <mergeCell ref="BG80:BL80"/>
    <mergeCell ref="BM80:BQ80"/>
    <mergeCell ref="BR80:BS80"/>
    <mergeCell ref="AN81:AS81"/>
    <mergeCell ref="AT81:AY81"/>
    <mergeCell ref="AZ81:BF81"/>
    <mergeCell ref="BG81:BL81"/>
    <mergeCell ref="BM81:BQ81"/>
    <mergeCell ref="BR81:BS81"/>
    <mergeCell ref="A80:O81"/>
    <mergeCell ref="P80:AD81"/>
    <mergeCell ref="AE80:AH81"/>
    <mergeCell ref="AI80:AL81"/>
    <mergeCell ref="AN80:AS80"/>
    <mergeCell ref="AT80:AY80"/>
    <mergeCell ref="AZ78:BF78"/>
    <mergeCell ref="BG78:BL78"/>
    <mergeCell ref="BM78:BQ78"/>
    <mergeCell ref="BR78:BS78"/>
    <mergeCell ref="AN79:AS79"/>
    <mergeCell ref="AT79:AY79"/>
    <mergeCell ref="AZ79:BF79"/>
    <mergeCell ref="BG79:BL79"/>
    <mergeCell ref="BM79:BQ79"/>
    <mergeCell ref="BR79:BS79"/>
    <mergeCell ref="A78:O79"/>
    <mergeCell ref="P78:AD79"/>
    <mergeCell ref="AE78:AH79"/>
    <mergeCell ref="AI78:AL79"/>
    <mergeCell ref="AN78:AS78"/>
    <mergeCell ref="AT78:AY78"/>
    <mergeCell ref="BR158:BS158"/>
    <mergeCell ref="AK219:AQ219"/>
    <mergeCell ref="Y227:AD227"/>
    <mergeCell ref="AE227:AJ227"/>
    <mergeCell ref="AK227:AQ227"/>
    <mergeCell ref="AR227:AV227"/>
    <mergeCell ref="BE168:BQ168"/>
    <mergeCell ref="BR168:BS168"/>
    <mergeCell ref="AW227:BD227"/>
    <mergeCell ref="AK226:AQ226"/>
    <mergeCell ref="A125:J126"/>
    <mergeCell ref="K125:T126"/>
    <mergeCell ref="U125:V126"/>
    <mergeCell ref="W125:X125"/>
    <mergeCell ref="Y125:AD125"/>
    <mergeCell ref="AE125:AJ125"/>
    <mergeCell ref="AK123:AQ123"/>
    <mergeCell ref="AR123:AV123"/>
    <mergeCell ref="AW123:BD123"/>
    <mergeCell ref="BE123:BQ123"/>
    <mergeCell ref="BR123:BS123"/>
    <mergeCell ref="AK124:AQ124"/>
    <mergeCell ref="AR124:AV124"/>
    <mergeCell ref="AW124:BD124"/>
    <mergeCell ref="BE124:BQ124"/>
    <mergeCell ref="BR124:BS124"/>
    <mergeCell ref="BE209:BQ209"/>
    <mergeCell ref="A159:J160"/>
    <mergeCell ref="K159:T160"/>
    <mergeCell ref="W159:X159"/>
    <mergeCell ref="Y159:AD159"/>
    <mergeCell ref="U159:V160"/>
  </mergeCells>
  <pageMargins left="0.52999997138977051" right="0.52999997138977051" top="0.52999997138977051" bottom="0.68999999761581421" header="0" footer="0"/>
  <pageSetup paperSize="8" scale="70" firstPageNumber="0" fitToWidth="0" fitToHeight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FormUrls xmlns="http://schemas.microsoft.com/sharepoint/v3/contenttype/forms/url">
  <Display>_catalogs/masterpage/ECMForms/OperationsCT/View.aspx</Display>
  <Edit>_catalogs/masterpage/ECMForms/OperationsCT/Edit.aspx</Edit>
</FormUrl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_x0020_to_x0020_Information_x00a0_Policy xmlns="cdc7663a-08f0-4737-9e8c-148ce897a09c">Public</Access_x0020_to_x0020_Information_x00a0_Policy>
    <SISCOR_x0020_Number xmlns="cdc7663a-08f0-4737-9e8c-148ce897a09c" xsi:nil="true"/>
    <b26cdb1da78c4bb4b1c1bac2f6ac5911 xmlns="cdc7663a-08f0-4737-9e8c-148ce897a09c">
      <Terms xmlns="http://schemas.microsoft.com/office/infopath/2007/PartnerControls"/>
    </b26cdb1da78c4bb4b1c1bac2f6ac5911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 Salvador</TermName>
          <TermId xmlns="http://schemas.microsoft.com/office/infopath/2007/PartnerControls">057b77a9-2761-48a1-b9dc-78a115c002df</TermId>
        </TermInfo>
      </Terms>
    </ic46d7e087fd4a108fb86518ca413cc6>
    <IDBDocs_x0020_Number xmlns="cdc7663a-08f0-4737-9e8c-148ce897a09c" xsi:nil="true"/>
    <Division_x0020_or_x0020_Unit xmlns="cdc7663a-08f0-4737-9e8c-148ce897a09c">INE/WSA</Division_x0020_or_x0020_Unit>
    <From_x003a_ xmlns="cdc7663a-08f0-4737-9e8c-148ce897a09c" xsi:nil="true"/>
    <Fiscal_x0020_Year_x0020_IDB xmlns="cdc7663a-08f0-4737-9e8c-148ce897a09c">2022</Fiscal_x0020_Year_x0020_IDB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Preparation Planning and Design</TermName>
          <TermId xmlns="http://schemas.microsoft.com/office/infopath/2007/PartnerControls">29ca0c72-1fc4-435f-a09c-28585cb5eac9</TermId>
        </TermInfo>
      </Terms>
    </e46fe2894295491da65140ffd2369f49>
    <Other_x0020_Author xmlns="cdc7663a-08f0-4737-9e8c-148ce897a09c" xsi:nil="true"/>
    <Migration_x0020_Info xmlns="cdc7663a-08f0-4737-9e8c-148ce897a09c" xsi:nil="true"/>
    <Approval_x0020_Number xmlns="cdc7663a-08f0-4737-9e8c-148ce897a09c" xsi:nil="true"/>
    <Phase xmlns="cdc7663a-08f0-4737-9e8c-148ce897a09c" xsi:nil="true"/>
    <Document_x0020_Author xmlns="cdc7663a-08f0-4737-9e8c-148ce897a09c">Guiza Ceron Carlos Andres</Document_x0020_Author>
    <b2ec7cfb18674cb8803df6b262e8b107 xmlns="cdc7663a-08f0-4737-9e8c-148ce897a09c">
      <Terms xmlns="http://schemas.microsoft.com/office/infopath/2007/PartnerControls"/>
    </b2ec7cfb18674cb8803df6b262e8b107>
    <Business_x0020_Area xmlns="cdc7663a-08f0-4737-9e8c-148ce897a09c" xsi:nil="true"/>
    <ATI_x0020_Undisclose_x0020_Document_x0020_Workflow xmlns="f5d13573-fb10-4da3-b855-85a14bda3a1f">
      <Url xsi:nil="true"/>
      <Description xsi:nil="true"/>
    </ATI_x0020_Undisclose_x0020_Document_x0020_Workflow>
    <Key_x0020_Document xmlns="cdc7663a-08f0-4737-9e8c-148ce897a09c">false</Key_x0020_Document>
    <Document_x0020_Language_x0020_IDB xmlns="cdc7663a-08f0-4737-9e8c-148ce897a09c">Spanish</Document_x0020_Language_x0020_IDB>
    <Project_x0020_Document_x0020_Type xmlns="cdc7663a-08f0-4737-9e8c-148ce897a09c" xsi:nil="true"/>
    <g511464f9e53401d84b16fa9b379a574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ORC</TermName>
          <TermId xmlns="http://schemas.microsoft.com/office/infopath/2007/PartnerControls">c028a4b2-ad8b-4cf4-9cac-a2ae6a778e23</TermId>
        </TermInfo>
      </Terms>
    </g511464f9e53401d84b16fa9b379a574>
    <Related_x0020_SisCor_x0020_Number xmlns="cdc7663a-08f0-4737-9e8c-148ce897a09c" xsi:nil="true"/>
    <Transaction_x0020_Type xmlns="cdc7663a-08f0-4737-9e8c-148ce897a09c" xsi:nil="true"/>
    <TaxCatchAll xmlns="cdc7663a-08f0-4737-9e8c-148ce897a09c">
      <Value>27</Value>
      <Value>24</Value>
      <Value>1</Value>
      <Value>42</Value>
    </TaxCatchAll>
    <Operation_x0020_Type xmlns="cdc7663a-08f0-4737-9e8c-148ce897a09c">Loan Operation</Operation_x0020_Type>
    <Package_x0020_Code xmlns="cdc7663a-08f0-4737-9e8c-148ce897a09c" xsi:nil="true"/>
    <To_x003a_ xmlns="cdc7663a-08f0-4737-9e8c-148ce897a09c" xsi:nil="true"/>
    <Identifier xmlns="cdc7663a-08f0-4737-9e8c-148ce897a09c" xsi:nil="true"/>
    <Project_x0020_Number xmlns="cdc7663a-08f0-4737-9e8c-148ce897a09c">ES-L1152</Project_x0020_Number>
    <nddeef1749674d76abdbe4b239a70b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 AND SANITATION</TermName>
          <TermId xmlns="http://schemas.microsoft.com/office/infopath/2007/PartnerControls">ba6b63cd-e402-47cb-9357-08149f7ce046</TermId>
        </TermInfo>
      </Terms>
    </nddeef1749674d76abdbe4b239a70bc6>
    <Record_x0020_Number xmlns="cdc7663a-08f0-4737-9e8c-148ce897a09c" xsi:nil="true"/>
    <Transaction_x0020_Number xmlns="cdc7663a-08f0-4737-9e8c-148ce897a09c" xsi:nil="true"/>
    <ATI_x0020_Disclose_x0020_Document_x0020_Workflow_x0020_v6 xmlns="f5d13573-fb10-4da3-b855-85a14bda3a1f">
      <Url xsi:nil="true"/>
      <Description xsi:nil="true"/>
    </ATI_x0020_Disclose_x0020_Document_x0020_Workflow_x0020_v6>
    <Extracted_x0020_Keywords xmlns="cdc7663a-08f0-4737-9e8c-148ce897a09c" xsi:nil="true"/>
    <Approval_x0020_date xmlns="cdc7663a-08f0-4737-9e8c-148ce897a09c" xsi:nil="true"/>
    <_dlc_DocId xmlns="cdc7663a-08f0-4737-9e8c-148ce897a09c">EZSHARE-1796633770-88</_dlc_DocId>
    <_dlc_DocIdUrl xmlns="cdc7663a-08f0-4737-9e8c-148ce897a09c">
      <Url>https://idbg.sharepoint.com/teams/EZ-ES-LON/ES-L1152/_layouts/15/DocIdRedir.aspx?ID=EZSHARE-1796633770-88</Url>
      <Description>EZSHARE-1796633770-88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ez-Operations" ma:contentTypeID="0x010100ACF722E9F6B0B149B0CD8BE2560A66720074C91EC93D497042BE10EAE6FBA708B0" ma:contentTypeVersion="5995" ma:contentTypeDescription="The base project type from which other project content types inherit their information." ma:contentTypeScope="" ma:versionID="5a67ee60750fcba5abaef2ee6ea1cde6">
  <xsd:schema xmlns:xsd="http://www.w3.org/2001/XMLSchema" xmlns:xs="http://www.w3.org/2001/XMLSchema" xmlns:p="http://schemas.microsoft.com/office/2006/metadata/properties" xmlns:ns2="cdc7663a-08f0-4737-9e8c-148ce897a09c" xmlns:ns3="f5d13573-fb10-4da3-b855-85a14bda3a1f" xmlns:ns4="b46e1a16-db50-4f97-93f8-ff4d6af46a05" targetNamespace="http://schemas.microsoft.com/office/2006/metadata/properties" ma:root="true" ma:fieldsID="3918711a21f9e50130ca40caa327d45f" ns2:_="" ns3:_="" ns4:_="">
    <xsd:import namespace="cdc7663a-08f0-4737-9e8c-148ce897a09c"/>
    <xsd:import namespace="f5d13573-fb10-4da3-b855-85a14bda3a1f"/>
    <xsd:import namespace="b46e1a16-db50-4f97-93f8-ff4d6af46a0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b26cdb1da78c4bb4b1c1bac2f6ac5911" minOccurs="0"/>
                <xsd:element ref="ns2:TaxCatchAll" minOccurs="0"/>
                <xsd:element ref="ns2:TaxCatchAllLabel" minOccurs="0"/>
                <xsd:element ref="ns2:Project_x0020_Number"/>
                <xsd:element ref="ns2:Access_x0020_to_x0020_Information_x00a0_Policy"/>
                <xsd:element ref="ns2:Document_x0020_Author" minOccurs="0"/>
                <xsd:element ref="ns2:Other_x0020_Author" minOccurs="0"/>
                <xsd:element ref="ns2:Approval_x0020_Number" minOccurs="0"/>
                <xsd:element ref="ns2:g511464f9e53401d84b16fa9b379a574" minOccurs="0"/>
                <xsd:element ref="ns2:Division_x0020_or_x0020_Unit" minOccurs="0"/>
                <xsd:element ref="ns2:Document_x0020_Language_x0020_IDB" minOccurs="0"/>
                <xsd:element ref="ns2:From_x003a_" minOccurs="0"/>
                <xsd:element ref="ns2:To_x003a_" minOccurs="0"/>
                <xsd:element ref="ns2:Identifier" minOccurs="0"/>
                <xsd:element ref="ns2:Fiscal_x0020_Year_x0020_IDB" minOccurs="0"/>
                <xsd:element ref="ns2:ic46d7e087fd4a108fb86518ca413cc6" minOccurs="0"/>
                <xsd:element ref="ns2:nddeef1749674d76abdbe4b239a70bc6" minOccurs="0"/>
                <xsd:element ref="ns2:b2ec7cfb18674cb8803df6b262e8b107" minOccurs="0"/>
                <xsd:element ref="ns2:Phase" minOccurs="0"/>
                <xsd:element ref="ns2:Key_x0020_Document" minOccurs="0"/>
                <xsd:element ref="ns2:Business_x0020_Area" minOccurs="0"/>
                <xsd:element ref="ns2:Project_x0020_Document_x0020_Type" minOccurs="0"/>
                <xsd:element ref="ns2:Operation_x0020_Type" minOccurs="0"/>
                <xsd:element ref="ns2:Package_x0020_Code" minOccurs="0"/>
                <xsd:element ref="ns2:e46fe2894295491da65140ffd2369f49" minOccurs="0"/>
                <xsd:element ref="ns2:SISCOR_x0020_Number" minOccurs="0"/>
                <xsd:element ref="ns2:IDBDocs_x0020_Number" minOccurs="0"/>
                <xsd:element ref="ns2:Migration_x0020_Info" minOccurs="0"/>
                <xsd:element ref="ns2:Record_x0020_Number" minOccurs="0"/>
                <xsd:element ref="ns2:Related_x0020_SisCor_x0020_Number" minOccurs="0"/>
                <xsd:element ref="ns2:Extracted_x0020_Keywords" minOccurs="0"/>
                <xsd:element ref="ns2:Approval_x0020_date" minOccurs="0"/>
                <xsd:element ref="ns2:Transaction_x0020_Type" minOccurs="0"/>
                <xsd:element ref="ns2:Transaction_x0020_Number" minOccurs="0"/>
                <xsd:element ref="ns3:ATI_x0020_Disclose_x0020_Document_x0020_Workflow_x0020_v6" minOccurs="0"/>
                <xsd:element ref="ns3:ATI_x0020_Undisclose_x0020_Document_x0020_Workflow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26cdb1da78c4bb4b1c1bac2f6ac5911" ma:index="11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a21e8572-655e-4c0d-bfdb-c52ee7bb5839}" ma:internalName="TaxCatchAll" ma:showField="CatchAllData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21e8572-655e-4c0d-bfdb-c52ee7bb5839}" ma:internalName="TaxCatchAllLabel" ma:readOnly="true" ma:showField="CatchAllDataLabel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ject_x0020_Number" ma:index="15" ma:displayName="Project Number" ma:internalName="Project_x0020_Number">
      <xsd:simpleType>
        <xsd:restriction base="dms:Text">
          <xsd:maxLength value="255"/>
        </xsd:restriction>
      </xsd:simpleType>
    </xsd:element>
    <xsd:element name="Access_x0020_to_x0020_Information_x00a0_Policy" ma:index="16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Document_x0020_Author" ma:index="17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18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Approval_x0020_Number" ma:index="19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g511464f9e53401d84b16fa9b379a574" ma:index="20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vision_x0020_or_x0020_Unit" ma:index="22" nillable="true" ma:displayName="Division or Unit" ma:internalName="Division_x0020_or_x0020_Unit">
      <xsd:simpleType>
        <xsd:restriction base="dms:Text">
          <xsd:maxLength value="255"/>
        </xsd:restriction>
      </xsd:simpleType>
    </xsd:element>
    <xsd:element name="Document_x0020_Language_x0020_IDB" ma:index="23" nillable="true" ma:displayName="Document Language IDB" ma:format="Dropdown" ma:internalName="Document_x0020_Language_x0020_IDB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From_x003a_" ma:index="24" nillable="true" ma:displayName="From:" ma:description="Sender name from email message" ma:internalName="From_x003A_">
      <xsd:simpleType>
        <xsd:restriction base="dms:Text">
          <xsd:maxLength value="255"/>
        </xsd:restriction>
      </xsd:simpleType>
    </xsd:element>
    <xsd:element name="To_x003a_" ma:index="25" nillable="true" ma:displayName="To:" ma:description="Addressee names from email message&#10;" ma:internalName="To_x003A_">
      <xsd:simpleType>
        <xsd:restriction base="dms:Text">
          <xsd:maxLength value="255"/>
        </xsd:restriction>
      </xsd:simpleType>
    </xsd:element>
    <xsd:element name="Identifier" ma:index="26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27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28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30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32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hase" ma:index="34" nillable="true" ma:displayName="Phase" ma:internalName="Phase">
      <xsd:simpleType>
        <xsd:restriction base="dms:Text">
          <xsd:maxLength value="255"/>
        </xsd:restriction>
      </xsd:simpleType>
    </xsd:element>
    <xsd:element name="Key_x0020_Document" ma:index="35" nillable="true" ma:displayName="Key Document" ma:default="0" ma:internalName="Key_x0020_Document">
      <xsd:simpleType>
        <xsd:restriction base="dms:Boolean"/>
      </xsd:simpleType>
    </xsd:element>
    <xsd:element name="Business_x0020_Area" ma:index="36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Project_x0020_Document_x0020_Type" ma:index="37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Operation_x0020_Type" ma:index="38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9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e46fe2894295491da65140ffd2369f49" ma:index="40" nillable="true" ma:taxonomy="true" ma:internalName="e46fe2894295491da65140ffd2369f49" ma:taxonomyFieldName="Function_x0020_Operations_x0020_IDB" ma:displayName="Function Operations IDB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ISCOR_x0020_Number" ma:index="42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3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Migration_x0020_Info" ma:index="44" nillable="true" ma:displayName="Migration Info" ma:internalName="Migration_x0020_Info">
      <xsd:simpleType>
        <xsd:restriction base="dms:Note"/>
      </xsd:simpleType>
    </xsd:element>
    <xsd:element name="Record_x0020_Number" ma:index="45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46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Extracted_x0020_Keywords" ma:index="47" nillable="true" ma:displayName="Extracted Keywords" ma:internalName="Extracted_x0020_Keyword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z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pproval_x0020_date" ma:index="48" nillable="true" ma:displayName="Approval date" ma:format="DateOnly" ma:internalName="Approval_x0020_date">
      <xsd:simpleType>
        <xsd:restriction base="dms:DateTime"/>
      </xsd:simpleType>
    </xsd:element>
    <xsd:element name="Transaction_x0020_Type" ma:index="49" nillable="true" ma:displayName="Transaction Type" ma:format="Dropdown" ma:internalName="Transaction_x0020_Type">
      <xsd:simpleType>
        <xsd:restriction base="dms:Choice">
          <xsd:enumeration value="APR"/>
          <xsd:enumeration value="APRR"/>
          <xsd:enumeration value="APRA"/>
          <xsd:enumeration value="API"/>
          <xsd:enumeration value="INC"/>
          <xsd:enumeration value="INCR"/>
          <xsd:enumeration value="BCL"/>
          <xsd:enumeration value="BCC"/>
          <xsd:enumeration value="FCM"/>
          <xsd:enumeration value="FCP"/>
          <xsd:enumeration value="FCPR"/>
          <xsd:enumeration value="FCA"/>
        </xsd:restriction>
      </xsd:simpleType>
    </xsd:element>
    <xsd:element name="Transaction_x0020_Number" ma:index="50" nillable="true" ma:displayName="Transaction Number" ma:internalName="Transaction_x0020_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13573-fb10-4da3-b855-85a14bda3a1f" elementFormDefault="qualified">
    <xsd:import namespace="http://schemas.microsoft.com/office/2006/documentManagement/types"/>
    <xsd:import namespace="http://schemas.microsoft.com/office/infopath/2007/PartnerControls"/>
    <xsd:element name="ATI_x0020_Disclose_x0020_Document_x0020_Workflow_x0020_v6" ma:index="51" nillable="true" ma:displayName="ATI Disclose Document Workflow v6" ma:internalName="ATI_x0020_Disclose_x0020_Document_x0020_Workflow_x0020_v6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I_x0020_Undisclose_x0020_Document_x0020_Workflow" ma:index="52" nillable="true" ma:displayName="ATI Undisclose Document Workflow" ma:internalName="ATI_x0020_Undisclose_x0020_Document_x0020_Workflo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5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e1a16-db50-4f97-93f8-ff4d6af46a05" elementFormDefault="qualified">
    <xsd:import namespace="http://schemas.microsoft.com/office/2006/documentManagement/types"/>
    <xsd:import namespace="http://schemas.microsoft.com/office/infopath/2007/PartnerControls"/>
    <xsd:element name="SharedWithUsers" ma:index="5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ae61f9b1-e23d-4f49-b3d7-56b991556c4b" ContentTypeId="0x010100ACF722E9F6B0B149B0CD8BE2560A6672" PreviousValue="false"/>
</file>

<file path=customXml/itemProps1.xml><?xml version="1.0" encoding="utf-8"?>
<ds:datastoreItem xmlns:ds="http://schemas.openxmlformats.org/officeDocument/2006/customXml" ds:itemID="{2DA4F086-C39D-4FD2-8FA2-DEA71B59288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FCEFE04-E2AF-4BCD-A52B-8D0DDA3C1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DBE29-0959-4167-B5B3-DF8C74915DBB}">
  <ds:schemaRefs>
    <ds:schemaRef ds:uri="http://schemas.microsoft.com/sharepoint/v3/contenttype/forms/url"/>
  </ds:schemaRefs>
</ds:datastoreItem>
</file>

<file path=customXml/itemProps4.xml><?xml version="1.0" encoding="utf-8"?>
<ds:datastoreItem xmlns:ds="http://schemas.openxmlformats.org/officeDocument/2006/customXml" ds:itemID="{DF9C4BBB-2C8F-46AD-87B3-32E9DE6A7FA3}">
  <ds:schemaRefs>
    <ds:schemaRef ds:uri="http://schemas.microsoft.com/office/infopath/2007/PartnerControls"/>
    <ds:schemaRef ds:uri="f5d13573-fb10-4da3-b855-85a14bda3a1f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b46e1a16-db50-4f97-93f8-ff4d6af46a05"/>
    <ds:schemaRef ds:uri="cdc7663a-08f0-4737-9e8c-148ce897a09c"/>
    <ds:schemaRef ds:uri="http://schemas.microsoft.com/office/2006/metadata/properties"/>
  </ds:schemaRefs>
</ds:datastoreItem>
</file>

<file path=customXml/itemProps5.xml><?xml version="1.0" encoding="utf-8"?>
<ds:datastoreItem xmlns:ds="http://schemas.openxmlformats.org/officeDocument/2006/customXml" ds:itemID="{3DBD4BF3-C241-4C3C-BE43-42481B4A01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7663a-08f0-4737-9e8c-148ce897a09c"/>
    <ds:schemaRef ds:uri="f5d13573-fb10-4da3-b855-85a14bda3a1f"/>
    <ds:schemaRef ds:uri="b46e1a16-db50-4f97-93f8-ff4d6af46a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45A06BCE-DA7C-4B84-9889-6C6F09147AF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Relatório_PMR</vt:lpstr>
      <vt:lpstr>Relatório_PMR!Print_Area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</dc:creator>
  <cp:keywords/>
  <dc:description/>
  <cp:lastModifiedBy>Bocco, Maria Julia</cp:lastModifiedBy>
  <cp:revision/>
  <dcterms:created xsi:type="dcterms:W3CDTF">2015-07-22T15:22:39Z</dcterms:created>
  <dcterms:modified xsi:type="dcterms:W3CDTF">2022-07-27T15:36:46Z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0x010100ACF722E9F6B0B149B0CD8BE2560A66720074C91EC93D497042BE10EAE6FBA708B0</vt:lpwstr>
  </property>
  <property fmtid="{D5CDD505-2E9C-101B-9397-08002B2CF9AE}" pid="3" name="TaxKeyword">
    <vt:lpwstr/>
  </property>
  <property fmtid="{D5CDD505-2E9C-101B-9397-08002B2CF9AE}" pid="4" name="Sub_x002d_Sector">
    <vt:lpwstr/>
  </property>
  <property fmtid="{D5CDD505-2E9C-101B-9397-08002B2CF9AE}" pid="5" name="TaxKeywordTaxHTField">
    <vt:lpwstr/>
  </property>
  <property fmtid="{D5CDD505-2E9C-101B-9397-08002B2CF9AE}" pid="6" name="Country">
    <vt:lpwstr>24;#El Salvador|057b77a9-2761-48a1-b9dc-78a115c002df</vt:lpwstr>
  </property>
  <property fmtid="{D5CDD505-2E9C-101B-9397-08002B2CF9AE}" pid="7" name="Fund_x0020_IDB">
    <vt:lpwstr/>
  </property>
  <property fmtid="{D5CDD505-2E9C-101B-9397-08002B2CF9AE}" pid="8" name="Series_x0020_Operations_x0020_IDB">
    <vt:lpwstr/>
  </property>
  <property fmtid="{D5CDD505-2E9C-101B-9397-08002B2CF9AE}" pid="9" name="Function Operations IDB">
    <vt:lpwstr>1;#Project Preparation Planning and Design|29ca0c72-1fc4-435f-a09c-28585cb5eac9</vt:lpwstr>
  </property>
  <property fmtid="{D5CDD505-2E9C-101B-9397-08002B2CF9AE}" pid="10" name="Sector_x0020_IDB">
    <vt:lpwstr/>
  </property>
  <property fmtid="{D5CDD505-2E9C-101B-9397-08002B2CF9AE}" pid="11" name="Sub-Sector">
    <vt:lpwstr/>
  </property>
  <property fmtid="{D5CDD505-2E9C-101B-9397-08002B2CF9AE}" pid="12" name="Series Operations IDB">
    <vt:lpwstr/>
  </property>
  <property fmtid="{D5CDD505-2E9C-101B-9397-08002B2CF9AE}" pid="13" name="Fund IDB">
    <vt:lpwstr>27;#ORC|c028a4b2-ad8b-4cf4-9cac-a2ae6a778e23</vt:lpwstr>
  </property>
  <property fmtid="{D5CDD505-2E9C-101B-9397-08002B2CF9AE}" pid="14" name="Sector IDB">
    <vt:lpwstr>42;#WATER AND SANITATION|ba6b63cd-e402-47cb-9357-08149f7ce046</vt:lpwstr>
  </property>
  <property fmtid="{D5CDD505-2E9C-101B-9397-08002B2CF9AE}" pid="15" name="_dlc_DocIdItemGuid">
    <vt:lpwstr>c56beae1-b999-46dd-a6ae-3aaea86cccf0</vt:lpwstr>
  </property>
  <property fmtid="{D5CDD505-2E9C-101B-9397-08002B2CF9AE}" pid="16" name="Disclosure Activity">
    <vt:lpwstr>Electronic Links</vt:lpwstr>
  </property>
  <property fmtid="{D5CDD505-2E9C-101B-9397-08002B2CF9AE}" pid="17" name="Webtopic">
    <vt:lpwstr/>
  </property>
</Properties>
</file>